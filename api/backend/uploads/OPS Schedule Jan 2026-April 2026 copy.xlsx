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580" tabRatio="600" firstSheet="0" activeTab="1" autoFilterDateGrouping="1"/>
  </bookViews>
  <sheets>
    <sheet xmlns:r="http://schemas.openxmlformats.org/officeDocument/2006/relationships" name="(TENTATIVE) June 8-14 " sheetId="1" state="visible" r:id="rId1"/>
    <sheet xmlns:r="http://schemas.openxmlformats.org/officeDocument/2006/relationships" name="June 1-7" sheetId="2" state="visible" r:id="rId2"/>
    <sheet xmlns:r="http://schemas.openxmlformats.org/officeDocument/2006/relationships" name="May 25-31" sheetId="3" state="visible" r:id="rId3"/>
    <sheet xmlns:r="http://schemas.openxmlformats.org/officeDocument/2006/relationships" name="May 18-24" sheetId="4" state="visible" r:id="rId4"/>
    <sheet xmlns:r="http://schemas.openxmlformats.org/officeDocument/2006/relationships" name="May 11-17" sheetId="5" state="visible" r:id="rId5"/>
    <sheet xmlns:r="http://schemas.openxmlformats.org/officeDocument/2006/relationships" name="May 4-10" sheetId="6" state="visible" r:id="rId6"/>
    <sheet xmlns:r="http://schemas.openxmlformats.org/officeDocument/2006/relationships" name="April 27- May 3" sheetId="7" state="visible" r:id="rId7"/>
    <sheet xmlns:r="http://schemas.openxmlformats.org/officeDocument/2006/relationships" name="April 20-26" sheetId="8" state="visible" r:id="rId8"/>
    <sheet xmlns:r="http://schemas.openxmlformats.org/officeDocument/2006/relationships" name="April 13-19" sheetId="9" state="visible" r:id="rId9"/>
    <sheet xmlns:r="http://schemas.openxmlformats.org/officeDocument/2006/relationships" name="April 6-12" sheetId="10" state="visible" r:id="rId10"/>
    <sheet xmlns:r="http://schemas.openxmlformats.org/officeDocument/2006/relationships" name="March 30-April 5" sheetId="11" state="visible" r:id="rId11"/>
    <sheet xmlns:r="http://schemas.openxmlformats.org/officeDocument/2006/relationships" name="March 23-29" sheetId="12" state="visible" r:id="rId12"/>
    <sheet xmlns:r="http://schemas.openxmlformats.org/officeDocument/2006/relationships" name="MARCH 16 - 22" sheetId="13" state="visible" r:id="rId13"/>
    <sheet xmlns:r="http://schemas.openxmlformats.org/officeDocument/2006/relationships" name="March 9 - 15" sheetId="14" state="visible" r:id="rId14"/>
    <sheet xmlns:r="http://schemas.openxmlformats.org/officeDocument/2006/relationships" name="March 2-8" sheetId="15" state="visible" r:id="rId15"/>
    <sheet xmlns:r="http://schemas.openxmlformats.org/officeDocument/2006/relationships" name="FEB 23-March 1" sheetId="16" state="visible" r:id="rId16"/>
    <sheet xmlns:r="http://schemas.openxmlformats.org/officeDocument/2006/relationships" name="FEB 16-22" sheetId="17" state="visible" r:id="rId17"/>
    <sheet xmlns:r="http://schemas.openxmlformats.org/officeDocument/2006/relationships" name="FEB 9 TO 15" sheetId="18" state="visible" r:id="rId18"/>
    <sheet xmlns:r="http://schemas.openxmlformats.org/officeDocument/2006/relationships" name="FEB 2-8" sheetId="19" state="visible" r:id="rId19"/>
    <sheet xmlns:r="http://schemas.openxmlformats.org/officeDocument/2006/relationships" name="Jan 26- feb 1" sheetId="20" state="visible" r:id="rId20"/>
    <sheet xmlns:r="http://schemas.openxmlformats.org/officeDocument/2006/relationships" name="Jan 19-25" sheetId="21" state="visible" r:id="rId21"/>
    <sheet xmlns:r="http://schemas.openxmlformats.org/officeDocument/2006/relationships" name="Jan 12-18" sheetId="22" state="visible" r:id="rId22"/>
    <sheet xmlns:r="http://schemas.openxmlformats.org/officeDocument/2006/relationships" name="Jan 5-11" sheetId="23" state="visible" r:id="rId23"/>
    <sheet xmlns:r="http://schemas.openxmlformats.org/officeDocument/2006/relationships" name="Dec 29-jan 4" sheetId="24" state="visible" r:id="rId24"/>
    <sheet xmlns:r="http://schemas.openxmlformats.org/officeDocument/2006/relationships" name="Dec 22-28" sheetId="25" state="visible" r:id="rId25"/>
    <sheet xmlns:r="http://schemas.openxmlformats.org/officeDocument/2006/relationships" name="Dec 15-21" sheetId="26" state="visible" r:id="rId26"/>
    <sheet xmlns:r="http://schemas.openxmlformats.org/officeDocument/2006/relationships" name="Dec 8-14" sheetId="27" state="visible" r:id="rId27"/>
    <sheet xmlns:r="http://schemas.openxmlformats.org/officeDocument/2006/relationships" name="Dec 1-7" sheetId="28" state="visible" r:id="rId28"/>
    <sheet xmlns:r="http://schemas.openxmlformats.org/officeDocument/2006/relationships" name="Nov 24-30" sheetId="29" state="visible" r:id="rId29"/>
    <sheet xmlns:r="http://schemas.openxmlformats.org/officeDocument/2006/relationships" name="Nov 17-23  " sheetId="30" state="visible" r:id="rId30"/>
    <sheet xmlns:r="http://schemas.openxmlformats.org/officeDocument/2006/relationships" name="Nov 10-16" sheetId="31" state="visible" r:id="rId31"/>
    <sheet xmlns:r="http://schemas.openxmlformats.org/officeDocument/2006/relationships" name="Nov 3 - 9" sheetId="32" state="visible" r:id="rId32"/>
    <sheet xmlns:r="http://schemas.openxmlformats.org/officeDocument/2006/relationships" name="OCT 27-nov 2" sheetId="33" state="visible" r:id="rId33"/>
    <sheet xmlns:r="http://schemas.openxmlformats.org/officeDocument/2006/relationships" name="OCT 20-26" sheetId="34" state="visible" r:id="rId34"/>
    <sheet xmlns:r="http://schemas.openxmlformats.org/officeDocument/2006/relationships" name="OCT 13-19" sheetId="35" state="visible" r:id="rId35"/>
    <sheet xmlns:r="http://schemas.openxmlformats.org/officeDocument/2006/relationships" name="OCT 6-12" sheetId="36" state="visible" r:id="rId36"/>
    <sheet xmlns:r="http://schemas.openxmlformats.org/officeDocument/2006/relationships" name="Sept 29 - OCT 5 " sheetId="37" state="visible" r:id="rId37"/>
    <sheet xmlns:r="http://schemas.openxmlformats.org/officeDocument/2006/relationships" name="Sept 22 - 28 " sheetId="38" state="visible" r:id="rId38"/>
    <sheet xmlns:r="http://schemas.openxmlformats.org/officeDocument/2006/relationships" name="Sept 15 - 21" sheetId="39" state="visible" r:id="rId39"/>
    <sheet xmlns:r="http://schemas.openxmlformats.org/officeDocument/2006/relationships" name="Sept 8-14" sheetId="40" state="visible" r:id="rId40"/>
    <sheet xmlns:r="http://schemas.openxmlformats.org/officeDocument/2006/relationships" name="Sept 1-7" sheetId="41" state="visible" r:id="rId41"/>
    <sheet xmlns:r="http://schemas.openxmlformats.org/officeDocument/2006/relationships" name="Aug 25-31" sheetId="42" state="visible" r:id="rId42"/>
    <sheet xmlns:r="http://schemas.openxmlformats.org/officeDocument/2006/relationships" name="Aug 18-24" sheetId="43" state="visible" r:id="rId43"/>
    <sheet xmlns:r="http://schemas.openxmlformats.org/officeDocument/2006/relationships" name="Employees" sheetId="44" state="visible" r:id="rId4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&quot;$&quot;* #,##0.00_-;\-&quot;$&quot;* #,##0.00_-;_-&quot;$&quot;* &quot;-&quot;??_-;_-@_-"/>
  </numFmts>
  <fonts count="98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sz val="11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6" tint="0.399975585192419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8" tint="0.399975585192419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theme="4" tint="0.3999755851924192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8" tint="0.3999755851924192"/>
      <sz val="11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D86DCD"/>
      <sz val="11"/>
    </font>
    <font>
      <name val="Aptos Narrow"/>
      <family val="2"/>
      <b val="1"/>
      <color rgb="FF44B3E1"/>
      <sz val="11"/>
    </font>
    <font>
      <name val="Aptos Narrow"/>
      <family val="2"/>
      <color theme="8" tint="0.3999755851924192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rgb="FF000000"/>
      <sz val="8"/>
      <scheme val="minor"/>
    </font>
    <font>
      <name val="Aptos Narrow"/>
      <family val="2"/>
      <b val="1"/>
      <color rgb="FFFF0000"/>
      <sz val="8"/>
      <scheme val="minor"/>
    </font>
    <font>
      <name val="Aptos Narrow"/>
      <family val="2"/>
      <color rgb="FF242424"/>
      <sz val="9"/>
    </font>
    <font>
      <name val="Aptos Narrow"/>
      <family val="2"/>
      <b val="1"/>
      <color rgb="FF242424"/>
      <sz val="9"/>
    </font>
    <font>
      <name val="Aptos Narrow"/>
      <family val="2"/>
      <b val="1"/>
      <i val="1"/>
      <color rgb="FF242424"/>
      <sz val="9"/>
    </font>
    <font>
      <name val="Aptos Narrow"/>
      <family val="2"/>
      <b val="1"/>
      <color rgb="FF4EA72E"/>
      <sz val="9"/>
    </font>
    <font>
      <name val="Aptos Narrow"/>
      <family val="2"/>
      <b val="1"/>
      <color rgb="FF0F9ED5"/>
      <sz val="9"/>
    </font>
    <font>
      <name val="Aptos Narrow"/>
      <family val="2"/>
      <color rgb="FFFF0000"/>
      <sz val="9"/>
    </font>
    <font>
      <name val="Aptos Narrow"/>
      <family val="2"/>
      <color theme="1"/>
      <sz val="8"/>
    </font>
    <font>
      <name val="Aptos Narrow"/>
      <family val="2"/>
      <b val="1"/>
      <color rgb="FFA02B93"/>
      <sz val="8"/>
    </font>
    <font>
      <name val="Aptos Narrow"/>
      <family val="2"/>
      <b val="1"/>
      <color rgb="FFC00000"/>
      <sz val="8"/>
    </font>
    <font>
      <name val="Aptos Narrow"/>
      <family val="2"/>
      <color rgb="FF000000"/>
      <sz val="8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color rgb="FF242424"/>
      <sz val="12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b val="1"/>
      <color rgb="FF0F9ED5"/>
      <sz val="11"/>
    </font>
    <font>
      <name val="Aptos Narrow"/>
      <family val="2"/>
      <b val="1"/>
      <color rgb="FF0F9ED5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theme="7"/>
      <sz val="11"/>
    </font>
    <font>
      <name val="Aptos Narrow"/>
      <family val="2"/>
      <b val="1"/>
      <color rgb="FF242424"/>
      <sz val="10"/>
    </font>
    <font>
      <name val="Aptos Narrow"/>
      <family val="2"/>
      <b val="1"/>
      <color rgb="FF44B3E1"/>
      <sz val="11"/>
      <scheme val="minor"/>
    </font>
    <font>
      <name val="Aptos"/>
      <family val="2"/>
      <b val="1"/>
      <color rgb="FF000000"/>
      <sz val="9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242424"/>
      <sz val="11"/>
    </font>
    <font>
      <name val="Aptos Narrow"/>
      <family val="2"/>
      <b val="1"/>
      <color rgb="FFFF0000"/>
      <sz val="10"/>
    </font>
    <font>
      <name val="Aptos Narrow"/>
      <family val="2"/>
      <color theme="1"/>
      <sz val="11"/>
    </font>
    <font>
      <name val="Aptos Narrow"/>
      <family val="2"/>
      <b val="1"/>
      <color theme="8" tint="0.7999816888943144"/>
      <sz val="11"/>
      <scheme val="minor"/>
    </font>
    <font>
      <name val="Aptos Narrow"/>
      <family val="2"/>
      <i val="1"/>
      <sz val="11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C00000"/>
      <sz val="12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8"/>
      <sz val="11"/>
    </font>
    <font>
      <name val="Aptos Narrow"/>
      <family val="2"/>
      <color theme="7"/>
      <sz val="11"/>
    </font>
    <font>
      <name val="Aptos Narrow"/>
      <family val="2"/>
      <b val="1"/>
      <color theme="9"/>
      <sz val="12"/>
      <scheme val="minor"/>
    </font>
    <font>
      <name val="Aptos Narrow"/>
      <family val="2"/>
      <sz val="8"/>
      <scheme val="minor"/>
    </font>
    <font>
      <name val="Aptos Narrow"/>
      <family val="2"/>
      <color rgb="FF0F9ED5"/>
      <sz val="11"/>
      <scheme val="minor"/>
    </font>
    <font>
      <name val="Aptos Narrow"/>
      <family val="2"/>
      <b val="1"/>
      <color theme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 tint="0.1499984740745262"/>
      <sz val="9"/>
      <scheme val="minor"/>
    </font>
    <font>
      <name val="Aptos Narrow"/>
      <family val="2"/>
      <b val="1"/>
      <color theme="9"/>
      <sz val="14"/>
      <scheme val="minor"/>
    </font>
    <font>
      <name val="Aptos Narrow"/>
      <family val="2"/>
      <b val="1"/>
      <color theme="8" tint="0.5999938962981048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theme="9"/>
      <sz val="9"/>
      <scheme val="minor"/>
    </font>
    <font>
      <name val="Aptos Narrow"/>
      <family val="2"/>
      <b val="1"/>
      <color theme="4" tint="0.5999938962981048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rgb="FFA02B93"/>
      <sz val="11"/>
    </font>
    <font>
      <name val="Aptos Narrow"/>
      <family val="2"/>
      <b val="1"/>
      <sz val="12"/>
      <scheme val="minor"/>
    </font>
    <font>
      <name val="Aptos Narrow"/>
      <family val="2"/>
      <b val="1"/>
      <color theme="8" tint="0.5999938962981048"/>
      <sz val="11"/>
      <scheme val="minor"/>
    </font>
    <font>
      <name val="Aptos Narrow"/>
      <family val="2"/>
      <b val="1"/>
      <color theme="8" tint="0.5999938962981048"/>
      <sz val="12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b val="1"/>
      <color theme="0" tint="-0.8999908444471572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"/>
      </left>
      <right style="thin">
        <color theme="8" tint="0.5999633777886288"/>
      </right>
      <top/>
      <bottom style="thin">
        <color theme="8" tint="0.599963377788628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8" fillId="0" borderId="0"/>
    <xf numFmtId="0" fontId="6" fillId="20" borderId="0" applyAlignment="1">
      <alignment horizontal="left" vertical="center" indent="1"/>
    </xf>
    <xf numFmtId="165" fontId="48" fillId="0" borderId="0"/>
  </cellStyleXfs>
  <cellXfs count="457">
    <xf numFmtId="0" fontId="0" fillId="0" borderId="0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0" borderId="1" applyAlignment="1" pivotButton="0" quotePrefix="0" xfId="0">
      <alignment horizontal="left"/>
    </xf>
    <xf numFmtId="16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7" borderId="2" pivotButton="0" quotePrefix="0" xfId="0"/>
    <xf numFmtId="0" fontId="3" fillId="2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9" borderId="5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5" fillId="4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0" fillId="10" borderId="4" applyAlignment="1" pivotButton="0" quotePrefix="0" xfId="0">
      <alignment wrapText="1"/>
    </xf>
    <xf numFmtId="0" fontId="3" fillId="8" borderId="3" pivotButton="0" quotePrefix="0" xfId="0"/>
    <xf numFmtId="0" fontId="5" fillId="4" borderId="1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0" fillId="4" borderId="1" pivotButton="0" quotePrefix="0" xfId="0"/>
    <xf numFmtId="0" fontId="6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11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12" borderId="0" pivotButton="0" quotePrefix="0" xfId="0"/>
    <xf numFmtId="0" fontId="6" fillId="13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13" fillId="10" borderId="1" applyAlignment="1" pivotButton="0" quotePrefix="0" xfId="0">
      <alignment vertical="top" wrapText="1"/>
    </xf>
    <xf numFmtId="0" fontId="6" fillId="10" borderId="2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wrapText="1"/>
    </xf>
    <xf numFmtId="0" fontId="6" fillId="10" borderId="1" pivotButton="0" quotePrefix="0" xfId="0"/>
    <xf numFmtId="0" fontId="5" fillId="8" borderId="1" applyAlignment="1" pivotButton="0" quotePrefix="0" xfId="0">
      <alignment wrapText="1"/>
    </xf>
    <xf numFmtId="0" fontId="3" fillId="14" borderId="1" pivotButton="0" quotePrefix="0" xfId="0"/>
    <xf numFmtId="0" fontId="11" fillId="4" borderId="1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5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6" fillId="10" borderId="3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3" borderId="7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6" fillId="3" borderId="7" applyAlignment="1" pivotButton="0" quotePrefix="0" xfId="0">
      <alignment wrapText="1"/>
    </xf>
    <xf numFmtId="0" fontId="6" fillId="10" borderId="7" applyAlignment="1" pivotButton="0" quotePrefix="0" xfId="0">
      <alignment wrapText="1"/>
    </xf>
    <xf numFmtId="0" fontId="0" fillId="4" borderId="0" pivotButton="0" quotePrefix="0" xfId="0"/>
    <xf numFmtId="0" fontId="5" fillId="11" borderId="1" applyAlignment="1" pivotButton="0" quotePrefix="0" xfId="0">
      <alignment wrapText="1"/>
    </xf>
    <xf numFmtId="0" fontId="4" fillId="13" borderId="1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0" fillId="3" borderId="8" pivotButton="0" quotePrefix="0" xfId="0"/>
    <xf numFmtId="0" fontId="6" fillId="10" borderId="6" applyAlignment="1" pivotButton="0" quotePrefix="0" xfId="0">
      <alignment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3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16" fontId="0" fillId="4" borderId="1" applyAlignment="1" pivotButton="0" quotePrefix="0" xfId="0">
      <alignment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9" fillId="10" borderId="1" applyAlignment="1" pivotButton="0" quotePrefix="0" xfId="0">
      <alignment wrapText="1"/>
    </xf>
    <xf numFmtId="0" fontId="3" fillId="10" borderId="2" pivotButton="0" quotePrefix="0" xfId="0"/>
    <xf numFmtId="0" fontId="0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8" borderId="7" pivotButton="0" quotePrefix="0" xfId="0"/>
    <xf numFmtId="0" fontId="19" fillId="16" borderId="9" applyAlignment="1" pivotButton="0" quotePrefix="0" xfId="0">
      <alignment horizontal="left" vertical="center" wrapText="1"/>
    </xf>
    <xf numFmtId="0" fontId="20" fillId="2" borderId="1" applyAlignment="1" pivotButton="0" quotePrefix="0" xfId="0">
      <alignment vertical="top" wrapText="1"/>
    </xf>
    <xf numFmtId="0" fontId="21" fillId="9" borderId="1" applyAlignment="1" pivotButton="0" quotePrefix="0" xfId="0">
      <alignment wrapText="1"/>
    </xf>
    <xf numFmtId="0" fontId="6" fillId="6" borderId="1" pivotButton="0" quotePrefix="0" xfId="0"/>
    <xf numFmtId="20" fontId="6" fillId="4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0" fillId="10" borderId="1" applyAlignment="1" pivotButton="0" quotePrefix="0" xfId="0">
      <alignment wrapText="1"/>
    </xf>
    <xf numFmtId="0" fontId="22" fillId="4" borderId="1" applyAlignment="1" pivotButton="0" quotePrefix="0" xfId="0">
      <alignment wrapText="1"/>
    </xf>
    <xf numFmtId="0" fontId="23" fillId="4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26" fillId="4" borderId="1" applyAlignment="1" pivotButton="0" quotePrefix="0" xfId="0">
      <alignment wrapText="1"/>
    </xf>
    <xf numFmtId="0" fontId="27" fillId="4" borderId="1" applyAlignment="1" pivotButton="0" quotePrefix="0" xfId="0">
      <alignment wrapText="1"/>
    </xf>
    <xf numFmtId="0" fontId="28" fillId="2" borderId="10" applyAlignment="1" pivotButton="0" quotePrefix="0" xfId="0">
      <alignment vertical="center" wrapText="1"/>
    </xf>
    <xf numFmtId="0" fontId="29" fillId="2" borderId="9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left" vertical="center" wrapText="1"/>
    </xf>
    <xf numFmtId="0" fontId="32" fillId="4" borderId="1" applyAlignment="1" pivotButton="0" quotePrefix="0" xfId="0">
      <alignment wrapText="1"/>
    </xf>
    <xf numFmtId="16" fontId="3" fillId="8" borderId="5" applyAlignment="1" pivotButton="0" quotePrefix="0" xfId="0">
      <alignment horizontal="left"/>
    </xf>
    <xf numFmtId="0" fontId="0" fillId="9" borderId="3" applyAlignment="1" pivotButton="0" quotePrefix="0" xfId="0">
      <alignment wrapText="1"/>
    </xf>
    <xf numFmtId="0" fontId="34" fillId="2" borderId="1" applyAlignment="1" pivotButton="0" quotePrefix="0" xfId="0">
      <alignment vertical="top" wrapText="1"/>
    </xf>
    <xf numFmtId="0" fontId="35" fillId="7" borderId="1" applyAlignment="1" pivotButton="0" quotePrefix="0" xfId="0">
      <alignment vertical="top" wrapText="1"/>
    </xf>
    <xf numFmtId="0" fontId="36" fillId="2" borderId="9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top" wrapText="1"/>
    </xf>
    <xf numFmtId="0" fontId="35" fillId="7" borderId="6" applyAlignment="1" pivotButton="0" quotePrefix="0" xfId="0">
      <alignment vertical="top" wrapText="1"/>
    </xf>
    <xf numFmtId="0" fontId="37" fillId="2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 vertical="top" wrapText="1" indent="1"/>
    </xf>
    <xf numFmtId="0" fontId="38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wrapText="1"/>
    </xf>
    <xf numFmtId="0" fontId="0" fillId="2" borderId="0" pivotButton="0" quotePrefix="0" xfId="0"/>
    <xf numFmtId="0" fontId="36" fillId="2" borderId="1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0" fontId="44" fillId="2" borderId="1" applyAlignment="1" pivotButton="0" quotePrefix="0" xfId="0">
      <alignment vertical="top" wrapText="1"/>
    </xf>
    <xf numFmtId="0" fontId="48" fillId="6" borderId="0" applyAlignment="1" pivotButton="0" quotePrefix="0" xfId="0">
      <alignment wrapText="1"/>
    </xf>
    <xf numFmtId="0" fontId="49" fillId="2" borderId="1" applyAlignment="1" pivotButton="0" quotePrefix="0" xfId="0">
      <alignment vertical="top" wrapText="1"/>
    </xf>
    <xf numFmtId="0" fontId="5" fillId="17" borderId="3" applyAlignment="1" pivotButton="0" quotePrefix="0" xfId="0">
      <alignment wrapText="1"/>
    </xf>
    <xf numFmtId="0" fontId="5" fillId="10" borderId="3" applyAlignment="1" pivotButton="0" quotePrefix="0" xfId="0">
      <alignment wrapText="1"/>
    </xf>
    <xf numFmtId="0" fontId="6" fillId="9" borderId="1" applyAlignment="1" pivotButton="0" quotePrefix="0" xfId="0">
      <alignment wrapText="1"/>
    </xf>
    <xf numFmtId="0" fontId="6" fillId="18" borderId="1" applyAlignment="1" pivotButton="0" quotePrefix="0" xfId="0">
      <alignment wrapText="1"/>
    </xf>
    <xf numFmtId="0" fontId="7" fillId="9" borderId="1" applyAlignment="1" pivotButton="0" quotePrefix="0" xfId="0">
      <alignment wrapText="1"/>
    </xf>
    <xf numFmtId="0" fontId="7" fillId="19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7" fillId="20" borderId="1" applyAlignment="1" pivotButton="0" quotePrefix="0" xfId="0">
      <alignment wrapText="1"/>
    </xf>
    <xf numFmtId="0" fontId="5" fillId="19" borderId="1" applyAlignment="1" pivotButton="0" quotePrefix="0" xfId="0">
      <alignment wrapText="1"/>
    </xf>
    <xf numFmtId="0" fontId="6" fillId="19" borderId="1" applyAlignment="1" pivotButton="0" quotePrefix="0" xfId="0">
      <alignment wrapText="1"/>
    </xf>
    <xf numFmtId="20" fontId="6" fillId="19" borderId="1" applyAlignment="1" pivotButton="0" quotePrefix="0" xfId="0">
      <alignment wrapText="1"/>
    </xf>
    <xf numFmtId="0" fontId="3" fillId="20" borderId="1" applyAlignment="1" pivotButton="0" quotePrefix="0" xfId="0">
      <alignment wrapText="1"/>
    </xf>
    <xf numFmtId="0" fontId="3" fillId="15" borderId="1" applyAlignment="1" pivotButton="0" quotePrefix="0" xfId="0">
      <alignment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wrapText="1"/>
    </xf>
    <xf numFmtId="0" fontId="3" fillId="2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wrapText="1"/>
    </xf>
    <xf numFmtId="0" fontId="3" fillId="19" borderId="1" applyAlignment="1" pivotButton="0" quotePrefix="0" xfId="0">
      <alignment horizontal="left" vertical="top" wrapText="1"/>
    </xf>
    <xf numFmtId="0" fontId="50" fillId="2" borderId="1" pivotButton="0" quotePrefix="0" xfId="0"/>
    <xf numFmtId="0" fontId="50" fillId="0" borderId="1" pivotButton="0" quotePrefix="0" xfId="0"/>
    <xf numFmtId="0" fontId="50" fillId="3" borderId="1" pivotButton="0" quotePrefix="0" xfId="0"/>
    <xf numFmtId="0" fontId="50" fillId="20" borderId="1" pivotButton="0" quotePrefix="0" xfId="0"/>
    <xf numFmtId="0" fontId="50" fillId="18" borderId="1" pivotButton="0" quotePrefix="0" xfId="0"/>
    <xf numFmtId="0" fontId="50" fillId="15" borderId="1" pivotButton="0" quotePrefix="0" xfId="0"/>
    <xf numFmtId="0" fontId="50" fillId="19" borderId="1" pivotButton="0" quotePrefix="0" xfId="0"/>
    <xf numFmtId="0" fontId="50" fillId="9" borderId="1" pivotButton="0" quotePrefix="0" xfId="0"/>
    <xf numFmtId="0" fontId="6" fillId="20" borderId="1" applyAlignment="1" pivotButton="0" quotePrefix="0" xfId="0">
      <alignment wrapText="1"/>
    </xf>
    <xf numFmtId="0" fontId="52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wrapText="1"/>
    </xf>
    <xf numFmtId="20" fontId="2" fillId="19" borderId="1" applyAlignment="1" pivotButton="0" quotePrefix="0" xfId="0">
      <alignment wrapText="1"/>
    </xf>
    <xf numFmtId="0" fontId="4" fillId="19" borderId="1" applyAlignment="1" pivotButton="0" quotePrefix="0" xfId="0">
      <alignment wrapText="1"/>
    </xf>
    <xf numFmtId="0" fontId="4" fillId="20" borderId="1" applyAlignment="1" pivotButton="0" quotePrefix="0" xfId="0">
      <alignment wrapText="1"/>
    </xf>
    <xf numFmtId="0" fontId="7" fillId="11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4" fillId="10" borderId="3" applyAlignment="1" pivotButton="0" quotePrefix="0" xfId="0">
      <alignment wrapText="1"/>
    </xf>
    <xf numFmtId="0" fontId="53" fillId="10" borderId="1" applyAlignment="1" pivotButton="0" quotePrefix="0" xfId="0">
      <alignment wrapText="1"/>
    </xf>
    <xf numFmtId="0" fontId="54" fillId="10" borderId="1" applyAlignment="1" pivotButton="0" quotePrefix="0" xfId="0">
      <alignment wrapText="1"/>
    </xf>
    <xf numFmtId="0" fontId="55" fillId="20" borderId="9" applyAlignment="1" pivotButton="0" quotePrefix="0" xfId="0">
      <alignment wrapText="1"/>
    </xf>
    <xf numFmtId="0" fontId="6" fillId="10" borderId="9" applyAlignment="1" pivotButton="0" quotePrefix="0" xfId="0">
      <alignment wrapText="1"/>
    </xf>
    <xf numFmtId="0" fontId="54" fillId="19" borderId="1" applyAlignment="1" pivotButton="0" quotePrefix="0" xfId="0">
      <alignment wrapText="1"/>
    </xf>
    <xf numFmtId="20" fontId="6" fillId="10" borderId="1" applyAlignment="1" pivotButton="0" quotePrefix="0" xfId="0">
      <alignment wrapText="1"/>
    </xf>
    <xf numFmtId="0" fontId="4" fillId="10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15" borderId="1" applyAlignment="1" pivotButton="0" quotePrefix="0" xfId="0">
      <alignment wrapText="1"/>
    </xf>
    <xf numFmtId="0" fontId="5" fillId="20" borderId="1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6" fillId="9" borderId="9" applyAlignment="1" pivotButton="0" quotePrefix="0" xfId="0">
      <alignment wrapText="1"/>
    </xf>
    <xf numFmtId="0" fontId="55" fillId="20" borderId="1" applyAlignment="1" pivotButton="0" quotePrefix="0" xfId="0">
      <alignment wrapText="1"/>
    </xf>
    <xf numFmtId="0" fontId="21" fillId="7" borderId="1" applyAlignment="1" pivotButton="0" quotePrefix="0" xfId="0">
      <alignment horizontal="left" vertical="top" wrapText="1"/>
    </xf>
    <xf numFmtId="0" fontId="51" fillId="2" borderId="1" applyAlignment="1" pivotButton="0" quotePrefix="0" xfId="0">
      <alignment horizontal="left" vertical="top" wrapText="1"/>
    </xf>
    <xf numFmtId="0" fontId="29" fillId="2" borderId="22" applyAlignment="1" pivotButton="0" quotePrefix="0" xfId="0">
      <alignment horizontal="left" vertical="top" wrapText="1"/>
    </xf>
    <xf numFmtId="0" fontId="6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4" fillId="16" borderId="9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left" vertical="top" wrapText="1"/>
    </xf>
    <xf numFmtId="16" fontId="11" fillId="10" borderId="1" applyAlignment="1" pivotButton="0" quotePrefix="0" xfId="0">
      <alignment wrapText="1"/>
    </xf>
    <xf numFmtId="0" fontId="54" fillId="3" borderId="1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5" fillId="10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left" wrapText="1"/>
    </xf>
    <xf numFmtId="0" fontId="4" fillId="20" borderId="1" applyAlignment="1" pivotButton="0" quotePrefix="0" xfId="0">
      <alignment horizontal="left" wrapText="1"/>
    </xf>
    <xf numFmtId="0" fontId="55" fillId="20" borderId="1" applyAlignment="1" pivotButton="0" quotePrefix="0" xfId="0">
      <alignment horizontal="left" wrapText="1"/>
    </xf>
    <xf numFmtId="16" fontId="11" fillId="19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1" fillId="9" borderId="1" applyAlignment="1" pivotButton="0" quotePrefix="0" xfId="0">
      <alignment wrapText="1"/>
    </xf>
    <xf numFmtId="0" fontId="3" fillId="19" borderId="1" applyAlignment="1" pivotButton="0" quotePrefix="0" xfId="0">
      <alignment vertical="top" wrapText="1"/>
    </xf>
    <xf numFmtId="0" fontId="66" fillId="2" borderId="0" applyAlignment="1" pivotButton="0" quotePrefix="0" xfId="0">
      <alignment horizontal="left" vertical="top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2" borderId="0" pivotButton="0" quotePrefix="0" xfId="0"/>
    <xf numFmtId="0" fontId="68" fillId="10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69" fillId="22" borderId="1" applyAlignment="1" pivotButton="0" quotePrefix="0" xfId="0">
      <alignment wrapText="1"/>
    </xf>
    <xf numFmtId="0" fontId="6" fillId="22" borderId="1" applyAlignment="1" pivotButton="0" quotePrefix="0" xfId="0">
      <alignment wrapText="1"/>
    </xf>
    <xf numFmtId="20" fontId="4" fillId="19" borderId="1" applyAlignment="1" pivotButton="0" quotePrefix="0" xfId="0">
      <alignment wrapText="1"/>
    </xf>
    <xf numFmtId="0" fontId="56" fillId="10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top" wrapText="1"/>
    </xf>
    <xf numFmtId="0" fontId="19" fillId="2" borderId="1" applyAlignment="1" pivotButton="0" quotePrefix="0" xfId="0">
      <alignment vertical="top" wrapText="1"/>
    </xf>
    <xf numFmtId="0" fontId="70" fillId="10" borderId="1" applyAlignment="1" pivotButton="0" quotePrefix="0" xfId="0">
      <alignment wrapText="1"/>
    </xf>
    <xf numFmtId="0" fontId="53" fillId="19" borderId="1" applyAlignment="1" pivotButton="0" quotePrefix="0" xfId="0">
      <alignment wrapText="1"/>
    </xf>
    <xf numFmtId="0" fontId="71" fillId="3" borderId="1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4" fillId="22" borderId="1" applyAlignment="1" pivotButton="0" quotePrefix="0" xfId="0">
      <alignment wrapText="1"/>
    </xf>
    <xf numFmtId="0" fontId="53" fillId="22" borderId="1" applyAlignment="1" pivotButton="0" quotePrefix="0" xfId="0">
      <alignment wrapText="1"/>
    </xf>
    <xf numFmtId="0" fontId="26" fillId="22" borderId="1" applyAlignment="1" pivotButton="0" quotePrefix="0" xfId="0">
      <alignment wrapText="1"/>
    </xf>
    <xf numFmtId="0" fontId="71" fillId="10" borderId="1" applyAlignment="1" pivotButton="0" quotePrefix="0" xfId="0">
      <alignment wrapText="1"/>
    </xf>
    <xf numFmtId="1" fontId="3" fillId="8" borderId="1" pivotButton="0" quotePrefix="0" xfId="0"/>
    <xf numFmtId="0" fontId="72" fillId="22" borderId="1" applyAlignment="1" pivotButton="0" quotePrefix="0" xfId="0">
      <alignment wrapText="1"/>
    </xf>
    <xf numFmtId="0" fontId="73" fillId="10" borderId="1" applyAlignment="1" pivotButton="0" quotePrefix="0" xfId="0">
      <alignment wrapText="1"/>
    </xf>
    <xf numFmtId="0" fontId="6" fillId="11" borderId="0" pivotButton="0" quotePrefix="0" xfId="0"/>
    <xf numFmtId="0" fontId="6" fillId="11" borderId="1" pivotButton="0" quotePrefix="0" xfId="0"/>
    <xf numFmtId="0" fontId="0" fillId="10" borderId="0" pivotButton="0" quotePrefix="0" xfId="0"/>
    <xf numFmtId="0" fontId="74" fillId="10" borderId="1" applyAlignment="1" pivotButton="0" quotePrefix="0" xfId="0">
      <alignment wrapText="1"/>
    </xf>
    <xf numFmtId="0" fontId="4" fillId="18" borderId="1" pivotButton="0" quotePrefix="0" xfId="0"/>
    <xf numFmtId="0" fontId="11" fillId="18" borderId="1" pivotButton="0" quotePrefix="0" xfId="0"/>
    <xf numFmtId="0" fontId="59" fillId="10" borderId="1" applyAlignment="1" pivotButton="0" quotePrefix="0" xfId="0">
      <alignment wrapText="1"/>
    </xf>
    <xf numFmtId="0" fontId="59" fillId="0" borderId="1" applyAlignment="1" pivotButton="0" quotePrefix="0" xfId="0">
      <alignment wrapText="1"/>
    </xf>
    <xf numFmtId="20" fontId="5" fillId="10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2" fillId="0" borderId="0" pivotButton="0" quotePrefix="0" xfId="0"/>
    <xf numFmtId="20" fontId="6" fillId="18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6" fillId="11" borderId="2" applyAlignment="1" pivotButton="0" quotePrefix="0" xfId="0">
      <alignment wrapText="1"/>
    </xf>
    <xf numFmtId="0" fontId="60" fillId="10" borderId="1" applyAlignment="1" pivotButton="0" quotePrefix="0" xfId="0">
      <alignment wrapText="1"/>
    </xf>
    <xf numFmtId="0" fontId="18" fillId="10" borderId="1" applyAlignment="1" pivotButton="0" quotePrefix="0" xfId="0">
      <alignment wrapText="1"/>
    </xf>
    <xf numFmtId="0" fontId="8" fillId="10" borderId="1" applyAlignment="1" pivotButton="0" quotePrefix="0" xfId="0">
      <alignment wrapText="1"/>
    </xf>
    <xf numFmtId="0" fontId="18" fillId="19" borderId="1" applyAlignment="1" pivotButton="0" quotePrefix="0" xfId="0">
      <alignment wrapText="1"/>
    </xf>
    <xf numFmtId="0" fontId="8" fillId="0" borderId="0" pivotButton="0" quotePrefix="0" xfId="0"/>
    <xf numFmtId="16" fontId="60" fillId="10" borderId="1" applyAlignment="1" pivotButton="0" quotePrefix="0" xfId="0">
      <alignment wrapText="1"/>
    </xf>
    <xf numFmtId="0" fontId="54" fillId="11" borderId="1" applyAlignment="1" pivotButton="0" quotePrefix="0" xfId="0">
      <alignment wrapText="1"/>
    </xf>
    <xf numFmtId="0" fontId="0" fillId="0" borderId="1" pivotButton="0" quotePrefix="0" xfId="0"/>
    <xf numFmtId="0" fontId="59" fillId="11" borderId="1" applyAlignment="1" pivotButton="0" quotePrefix="0" xfId="0">
      <alignment wrapText="1"/>
    </xf>
    <xf numFmtId="0" fontId="33" fillId="2" borderId="1" applyAlignment="1" pivotButton="0" quotePrefix="0" xfId="0">
      <alignment vertical="top" wrapText="1"/>
    </xf>
    <xf numFmtId="0" fontId="48" fillId="2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54" fillId="9" borderId="1" applyAlignment="1" pivotButton="0" quotePrefix="0" xfId="0">
      <alignment wrapText="1"/>
    </xf>
    <xf numFmtId="0" fontId="54" fillId="23" borderId="1" applyAlignment="1" pivotButton="0" quotePrefix="0" xfId="0">
      <alignment wrapText="1"/>
    </xf>
    <xf numFmtId="20" fontId="4" fillId="10" borderId="1" applyAlignment="1" pivotButton="0" quotePrefix="0" xfId="0">
      <alignment wrapText="1"/>
    </xf>
    <xf numFmtId="0" fontId="6" fillId="2" borderId="0" pivotButton="0" quotePrefix="0" xfId="0"/>
    <xf numFmtId="0" fontId="71" fillId="9" borderId="1" applyAlignment="1" pivotButton="0" quotePrefix="0" xfId="0">
      <alignment wrapText="1"/>
    </xf>
    <xf numFmtId="0" fontId="71" fillId="23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/>
    </xf>
    <xf numFmtId="0" fontId="0" fillId="11" borderId="1" applyAlignment="1" pivotButton="0" quotePrefix="0" xfId="0">
      <alignment wrapText="1"/>
    </xf>
    <xf numFmtId="0" fontId="25" fillId="10" borderId="1" applyAlignment="1" pivotButton="0" quotePrefix="0" xfId="0">
      <alignment wrapText="1"/>
    </xf>
    <xf numFmtId="0" fontId="65" fillId="0" borderId="0" applyAlignment="1" pivotButton="0" quotePrefix="0" xfId="0">
      <alignment wrapText="1"/>
    </xf>
    <xf numFmtId="0" fontId="3" fillId="1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5" fillId="2" borderId="1" applyAlignment="1" pivotButton="0" quotePrefix="0" xfId="0">
      <alignment vertical="top" wrapText="1"/>
    </xf>
    <xf numFmtId="0" fontId="21" fillId="9" borderId="1" pivotButton="0" quotePrefix="0" xfId="0"/>
    <xf numFmtId="0" fontId="65" fillId="2" borderId="0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3" fillId="20" borderId="1" applyAlignment="1" pivotButton="0" quotePrefix="0" xfId="0">
      <alignment horizontal="center" wrapText="1"/>
    </xf>
    <xf numFmtId="0" fontId="4" fillId="10" borderId="9" applyAlignment="1" pivotButton="0" quotePrefix="0" xfId="0">
      <alignment wrapText="1"/>
    </xf>
    <xf numFmtId="0" fontId="2" fillId="10" borderId="9" applyAlignment="1" pivotButton="0" quotePrefix="0" xfId="0">
      <alignment wrapText="1"/>
    </xf>
    <xf numFmtId="0" fontId="4" fillId="10" borderId="7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6" fillId="10" borderId="5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2" fillId="10" borderId="3" applyAlignment="1" pivotButton="0" quotePrefix="0" xfId="0">
      <alignment wrapText="1"/>
    </xf>
    <xf numFmtId="0" fontId="79" fillId="2" borderId="1" applyAlignment="1" pivotButton="0" quotePrefix="0" xfId="0">
      <alignment vertical="top" wrapText="1"/>
    </xf>
    <xf numFmtId="0" fontId="71" fillId="11" borderId="1" applyAlignment="1" pivotButton="0" quotePrefix="0" xfId="0">
      <alignment wrapText="1"/>
    </xf>
    <xf numFmtId="0" fontId="80" fillId="9" borderId="1" applyAlignment="1" pivotButton="0" quotePrefix="0" xfId="0">
      <alignment wrapText="1"/>
    </xf>
    <xf numFmtId="0" fontId="81" fillId="2" borderId="23" applyAlignment="1" pivotButton="0" quotePrefix="0" xfId="1">
      <alignment vertical="top" wrapText="1" indent="1"/>
    </xf>
    <xf numFmtId="0" fontId="19" fillId="2" borderId="0" applyAlignment="1" pivotButton="0" quotePrefix="0" xfId="0">
      <alignment wrapText="1"/>
    </xf>
    <xf numFmtId="0" fontId="71" fillId="11" borderId="3" applyAlignment="1" pivotButton="0" quotePrefix="0" xfId="0">
      <alignment wrapText="1"/>
    </xf>
    <xf numFmtId="0" fontId="55" fillId="2" borderId="0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5" fillId="13" borderId="1" applyAlignment="1" pivotButton="0" quotePrefix="0" xfId="0">
      <alignment wrapText="1"/>
    </xf>
    <xf numFmtId="0" fontId="2" fillId="13" borderId="1" applyAlignment="1" pivotButton="0" quotePrefix="0" xfId="0">
      <alignment wrapText="1"/>
    </xf>
    <xf numFmtId="0" fontId="3" fillId="13" borderId="1" applyAlignment="1" pivotButton="0" quotePrefix="0" xfId="0">
      <alignment wrapText="1"/>
    </xf>
    <xf numFmtId="0" fontId="5" fillId="10" borderId="1" pivotButton="0" quotePrefix="0" xfId="0"/>
    <xf numFmtId="16" fontId="0" fillId="10" borderId="1" applyAlignment="1" pivotButton="0" quotePrefix="0" xfId="0">
      <alignment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wrapText="1"/>
    </xf>
    <xf numFmtId="0" fontId="5" fillId="21" borderId="1" applyAlignment="1" pivotButton="0" quotePrefix="0" xfId="0">
      <alignment wrapText="1"/>
    </xf>
    <xf numFmtId="0" fontId="50" fillId="14" borderId="0" pivotButton="0" quotePrefix="0" xfId="0"/>
    <xf numFmtId="0" fontId="0" fillId="14" borderId="0" pivotButton="0" quotePrefix="0" xfId="0"/>
    <xf numFmtId="0" fontId="5" fillId="0" borderId="1" applyAlignment="1" pivotButton="0" quotePrefix="0" xfId="0">
      <alignment wrapText="1"/>
    </xf>
    <xf numFmtId="0" fontId="3" fillId="24" borderId="1" pivotButton="0" quotePrefix="0" xfId="0"/>
    <xf numFmtId="0" fontId="3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1" fillId="24" borderId="1" applyAlignment="1" pivotButton="0" quotePrefix="0" xfId="0">
      <alignment wrapText="1"/>
    </xf>
    <xf numFmtId="0" fontId="3" fillId="18" borderId="1" pivotButton="0" quotePrefix="0" xfId="0"/>
    <xf numFmtId="0" fontId="7" fillId="2" borderId="1" applyAlignment="1" pivotButton="0" quotePrefix="0" xfId="0">
      <alignment vertical="top" wrapText="1"/>
    </xf>
    <xf numFmtId="0" fontId="82" fillId="2" borderId="23" applyAlignment="1" pivotButton="0" quotePrefix="0" xfId="1">
      <alignment vertical="top" wrapText="1" indent="1"/>
    </xf>
    <xf numFmtId="0" fontId="4" fillId="21" borderId="1" applyAlignment="1" pivotButton="0" quotePrefix="0" xfId="0">
      <alignment wrapText="1"/>
    </xf>
    <xf numFmtId="0" fontId="29" fillId="2" borderId="0" applyAlignment="1" pivotButton="0" quotePrefix="0" xfId="0">
      <alignment wrapText="1"/>
    </xf>
    <xf numFmtId="0" fontId="83" fillId="22" borderId="1" applyAlignment="1" pivotButton="0" quotePrefix="0" xfId="0">
      <alignment wrapText="1"/>
    </xf>
    <xf numFmtId="0" fontId="85" fillId="2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7" fillId="10" borderId="3" applyAlignment="1" pivotButton="0" quotePrefix="0" xfId="0">
      <alignment wrapText="1"/>
    </xf>
    <xf numFmtId="0" fontId="85" fillId="22" borderId="1" applyAlignment="1" pivotButton="0" quotePrefix="0" xfId="0">
      <alignment horizontal="left" vertical="top" wrapText="1"/>
    </xf>
    <xf numFmtId="0" fontId="4" fillId="10" borderId="1" pivotButton="0" quotePrefix="0" xfId="0"/>
    <xf numFmtId="0" fontId="7" fillId="21" borderId="1" applyAlignment="1" pivotButton="0" quotePrefix="0" xfId="0">
      <alignment wrapText="1"/>
    </xf>
    <xf numFmtId="0" fontId="11" fillId="24" borderId="1" pivotButton="0" quotePrefix="0" xfId="0"/>
    <xf numFmtId="0" fontId="7" fillId="10" borderId="1" applyAlignment="1" pivotButton="0" quotePrefix="0" xfId="0">
      <alignment horizontal="left" vertical="top" wrapText="1"/>
    </xf>
    <xf numFmtId="0" fontId="3" fillId="5" borderId="1" pivotButton="0" quotePrefix="0" xfId="0"/>
    <xf numFmtId="165" fontId="3" fillId="8" borderId="7" pivotButton="0" quotePrefix="0" xfId="2"/>
    <xf numFmtId="0" fontId="7" fillId="24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0" borderId="1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6" borderId="1" applyAlignment="1" pivotButton="0" quotePrefix="0" xfId="0">
      <alignment wrapText="1"/>
    </xf>
    <xf numFmtId="0" fontId="4" fillId="2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1" fillId="10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wrapText="1"/>
    </xf>
    <xf numFmtId="0" fontId="3" fillId="2" borderId="30" pivotButton="0" quotePrefix="0" xfId="0"/>
    <xf numFmtId="0" fontId="3" fillId="2" borderId="28" pivotButton="0" quotePrefix="0" xfId="0"/>
    <xf numFmtId="0" fontId="3" fillId="2" borderId="31" pivotButton="0" quotePrefix="0" xfId="0"/>
    <xf numFmtId="0" fontId="3" fillId="2" borderId="32" pivotButton="0" quotePrefix="0" xfId="0"/>
    <xf numFmtId="0" fontId="5" fillId="2" borderId="0" pivotButton="0" quotePrefix="0" xfId="0"/>
    <xf numFmtId="0" fontId="3" fillId="2" borderId="33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2" borderId="36" pivotButton="0" quotePrefix="0" xfId="0"/>
    <xf numFmtId="0" fontId="53" fillId="2" borderId="1" applyAlignment="1" pivotButton="0" quotePrefix="0" xfId="0">
      <alignment vertical="top" wrapText="1"/>
    </xf>
    <xf numFmtId="0" fontId="2" fillId="21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18" fillId="10" borderId="3" applyAlignment="1" pivotButton="0" quotePrefix="0" xfId="0">
      <alignment wrapText="1"/>
    </xf>
    <xf numFmtId="0" fontId="0" fillId="0" borderId="9" pivotButton="0" quotePrefix="0" xfId="0"/>
    <xf numFmtId="0" fontId="26" fillId="20" borderId="1" applyAlignment="1" pivotButton="0" quotePrefix="0" xfId="0">
      <alignment wrapText="1"/>
    </xf>
    <xf numFmtId="0" fontId="90" fillId="26" borderId="1" applyAlignment="1" pivotButton="0" quotePrefix="0" xfId="0">
      <alignment wrapText="1"/>
    </xf>
    <xf numFmtId="0" fontId="5" fillId="24" borderId="1" applyAlignment="1" pivotButton="0" quotePrefix="0" xfId="0">
      <alignment wrapText="1"/>
    </xf>
    <xf numFmtId="0" fontId="92" fillId="22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wrapText="1"/>
    </xf>
    <xf numFmtId="0" fontId="90" fillId="6" borderId="1" applyAlignment="1" pivotButton="0" quotePrefix="0" xfId="0">
      <alignment wrapText="1"/>
    </xf>
    <xf numFmtId="16" fontId="4" fillId="0" borderId="1" applyAlignment="1" pivotButton="0" quotePrefix="0" xfId="0">
      <alignment wrapText="1"/>
    </xf>
    <xf numFmtId="0" fontId="4" fillId="23" borderId="1" applyAlignment="1" pivotButton="0" quotePrefix="0" xfId="0">
      <alignment wrapText="1"/>
    </xf>
    <xf numFmtId="16" fontId="4" fillId="3" borderId="1" applyAlignment="1" pivotButton="0" quotePrefix="0" xfId="0">
      <alignment wrapText="1"/>
    </xf>
    <xf numFmtId="0" fontId="4" fillId="6" borderId="1" applyAlignment="1" pivotButton="0" quotePrefix="0" xfId="0">
      <alignment horizontal="left" vertical="top" wrapText="1"/>
    </xf>
    <xf numFmtId="20" fontId="5" fillId="6" borderId="1" applyAlignment="1" pivotButton="0" quotePrefix="0" xfId="0">
      <alignment wrapText="1"/>
    </xf>
    <xf numFmtId="0" fontId="50" fillId="6" borderId="1" pivotButton="0" quotePrefix="0" xfId="0"/>
    <xf numFmtId="0" fontId="4" fillId="27" borderId="1" applyAlignment="1" pivotButton="0" quotePrefix="0" xfId="0">
      <alignment wrapText="1"/>
    </xf>
    <xf numFmtId="0" fontId="11" fillId="2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wrapText="1"/>
    </xf>
    <xf numFmtId="0" fontId="11" fillId="20" borderId="1" applyAlignment="1" pivotButton="0" quotePrefix="0" xfId="0">
      <alignment wrapText="1"/>
    </xf>
    <xf numFmtId="0" fontId="3" fillId="28" borderId="1" pivotButton="0" quotePrefix="0" xfId="0"/>
    <xf numFmtId="0" fontId="5" fillId="29" borderId="1" applyAlignment="1" pivotButton="0" quotePrefix="0" xfId="0">
      <alignment wrapText="1"/>
    </xf>
    <xf numFmtId="0" fontId="4" fillId="29" borderId="1" applyAlignment="1" pivotButton="0" quotePrefix="0" xfId="0">
      <alignment horizontal="left" vertical="top" wrapText="1"/>
    </xf>
    <xf numFmtId="0" fontId="50" fillId="29" borderId="1" pivotButton="0" quotePrefix="0" xfId="0"/>
    <xf numFmtId="0" fontId="3" fillId="24" borderId="1" applyAlignment="1" pivotButton="0" quotePrefix="0" xfId="0">
      <alignment horizontal="left" vertical="top" wrapText="1"/>
    </xf>
    <xf numFmtId="0" fontId="3" fillId="0" borderId="7" pivotButton="0" quotePrefix="0" xfId="0"/>
    <xf numFmtId="0" fontId="95" fillId="0" borderId="1" applyAlignment="1" pivotButton="0" quotePrefix="0" xfId="0">
      <alignment wrapText="1"/>
    </xf>
    <xf numFmtId="0" fontId="96" fillId="2" borderId="1" applyAlignment="1" pivotButton="0" quotePrefix="0" xfId="0">
      <alignment vertical="top" wrapText="1"/>
    </xf>
    <xf numFmtId="0" fontId="97" fillId="2" borderId="1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10" borderId="5" applyAlignment="1" pivotButton="0" quotePrefix="0" xfId="0">
      <alignment wrapText="1"/>
    </xf>
    <xf numFmtId="0" fontId="4" fillId="19" borderId="3" applyAlignment="1" pivotButton="0" quotePrefix="0" xfId="0">
      <alignment wrapText="1"/>
    </xf>
    <xf numFmtId="0" fontId="11" fillId="10" borderId="37" applyAlignment="1" pivotButton="0" quotePrefix="0" xfId="0">
      <alignment wrapText="1"/>
    </xf>
    <xf numFmtId="0" fontId="6" fillId="10" borderId="38" applyAlignment="1" pivotButton="0" quotePrefix="0" xfId="0">
      <alignment wrapText="1"/>
    </xf>
    <xf numFmtId="0" fontId="6" fillId="21" borderId="3" applyAlignment="1" pivotButton="0" quotePrefix="0" xfId="0">
      <alignment wrapText="1"/>
    </xf>
    <xf numFmtId="0" fontId="11" fillId="10" borderId="40" applyAlignment="1" pivotButton="0" quotePrefix="0" xfId="0">
      <alignment wrapText="1"/>
    </xf>
    <xf numFmtId="0" fontId="6" fillId="21" borderId="39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12" fillId="10" borderId="39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12" fillId="0" borderId="39" applyAlignment="1" pivotButton="0" quotePrefix="0" xfId="0">
      <alignment wrapText="1"/>
    </xf>
    <xf numFmtId="0" fontId="11" fillId="10" borderId="39" applyAlignment="1" pivotButton="0" quotePrefix="0" xfId="0">
      <alignment wrapText="1"/>
    </xf>
    <xf numFmtId="0" fontId="11" fillId="21" borderId="39" applyAlignment="1" pivotButton="0" quotePrefix="0" xfId="0">
      <alignment wrapText="1"/>
    </xf>
    <xf numFmtId="0" fontId="5" fillId="29" borderId="7" applyAlignment="1" pivotButton="0" quotePrefix="0" xfId="0">
      <alignment wrapText="1"/>
    </xf>
    <xf numFmtId="0" fontId="11" fillId="0" borderId="39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7" fillId="21" borderId="7" applyAlignment="1" pivotButton="0" quotePrefix="0" xfId="0">
      <alignment horizontal="left" vertical="top" wrapText="1"/>
    </xf>
    <xf numFmtId="0" fontId="3" fillId="28" borderId="3" pivotButton="0" quotePrefix="0" xfId="0"/>
    <xf numFmtId="0" fontId="11" fillId="10" borderId="39" applyAlignment="1" pivotButton="0" quotePrefix="0" xfId="0">
      <alignment horizontal="left" vertical="top" wrapText="1"/>
    </xf>
    <xf numFmtId="0" fontId="0" fillId="10" borderId="38" applyAlignment="1" pivotButton="0" quotePrefix="0" xfId="0">
      <alignment wrapText="1"/>
    </xf>
    <xf numFmtId="0" fontId="7" fillId="10" borderId="7" applyAlignment="1" pivotButton="0" quotePrefix="0" xfId="0">
      <alignment wrapText="1"/>
    </xf>
    <xf numFmtId="0" fontId="11" fillId="19" borderId="39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10" borderId="7" applyAlignment="1" pivotButton="0" quotePrefix="0" xfId="0">
      <alignment wrapText="1"/>
    </xf>
    <xf numFmtId="0" fontId="2" fillId="10" borderId="39" applyAlignment="1" pivotButton="0" quotePrefix="0" xfId="0">
      <alignment wrapText="1"/>
    </xf>
    <xf numFmtId="0" fontId="11" fillId="10" borderId="39" applyAlignment="1" pivotButton="0" quotePrefix="0" xfId="0">
      <alignment horizontal="left" wrapText="1"/>
    </xf>
    <xf numFmtId="0" fontId="2" fillId="21" borderId="3" applyAlignment="1" pivotButton="0" quotePrefix="0" xfId="0">
      <alignment wrapText="1"/>
    </xf>
    <xf numFmtId="0" fontId="11" fillId="29" borderId="39" applyAlignment="1" pivotButton="0" quotePrefix="0" xfId="0">
      <alignment wrapText="1"/>
    </xf>
    <xf numFmtId="0" fontId="5" fillId="10" borderId="39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3" fillId="10" borderId="39" applyAlignment="1" pivotButton="0" quotePrefix="0" xfId="0">
      <alignment horizontal="left" vertical="top" wrapText="1"/>
    </xf>
    <xf numFmtId="0" fontId="11" fillId="0" borderId="3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20" borderId="39" applyAlignment="1" pivotButton="0" quotePrefix="0" xfId="0">
      <alignment wrapText="1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25" pivotButton="0" quotePrefix="0" xfId="0"/>
    <xf numFmtId="0" fontId="0" fillId="0" borderId="43" pivotButton="0" quotePrefix="0" xfId="0"/>
    <xf numFmtId="0" fontId="3" fillId="0" borderId="44" applyAlignment="1" pivotButton="0" quotePrefix="0" xfId="0">
      <alignment horizontal="center"/>
    </xf>
    <xf numFmtId="0" fontId="0" fillId="0" borderId="15" pivotButton="0" quotePrefix="0" xfId="0"/>
    <xf numFmtId="0" fontId="3" fillId="0" borderId="41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5" fontId="3" fillId="8" borderId="7" pivotButton="0" quotePrefix="0" xfId="2"/>
    <xf numFmtId="0" fontId="3" fillId="0" borderId="45" applyAlignment="1" pivotButton="0" quotePrefix="0" xfId="0">
      <alignment horizontal="center"/>
    </xf>
    <xf numFmtId="0" fontId="0" fillId="0" borderId="26" pivotButton="0" quotePrefix="0" xfId="0"/>
    <xf numFmtId="0" fontId="3" fillId="0" borderId="46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3" fillId="0" borderId="3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4" fontId="0" fillId="10" borderId="1" applyAlignment="1" pivotButton="0" quotePrefix="0" xfId="0">
      <alignment wrapText="1"/>
    </xf>
  </cellXfs>
  <cellStyles count="3">
    <cellStyle name="Normal" xfId="0" builtinId="0"/>
    <cellStyle name="Banded" xfId="1"/>
    <cellStyle name="Currency" xfId="2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topLeftCell="A4" zoomScale="70" zoomScaleNormal="70" workbookViewId="0">
      <selection activeCell="E25" sqref="E25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17"/>
    <col width="12.5" customWidth="1" min="18" max="18"/>
    <col width="11" customWidth="1" min="19" max="19"/>
    <col width="24.5" customWidth="1" min="20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46181</v>
      </c>
      <c r="C2" s="6" t="n"/>
      <c r="D2" s="5" t="n">
        <v>46182</v>
      </c>
      <c r="E2" s="6" t="n"/>
      <c r="F2" s="5" t="n">
        <v>46183</v>
      </c>
      <c r="G2" s="6" t="n"/>
      <c r="H2" s="5" t="n">
        <v>46184</v>
      </c>
      <c r="I2" s="6" t="n"/>
      <c r="J2" s="5" t="n">
        <v>46185</v>
      </c>
      <c r="K2" s="6" t="n"/>
      <c r="L2" s="5" t="n">
        <v>46186</v>
      </c>
      <c r="M2" s="6" t="n"/>
      <c r="N2" s="5" t="n">
        <v>46187</v>
      </c>
      <c r="O2" s="7" t="n"/>
      <c r="P2" s="3" t="n"/>
    </row>
    <row r="3" ht="96.5" customHeight="1">
      <c r="A3" s="8" t="inlineStr">
        <is>
          <t>EVENTS</t>
        </is>
      </c>
      <c r="B3" s="62" t="n"/>
      <c r="C3" s="10" t="n"/>
      <c r="D3" s="62" t="inlineStr">
        <is>
          <t>Ops Team May+June Bdays/ farewells 3pm</t>
        </is>
      </c>
      <c r="E3" s="10" t="n"/>
      <c r="F3" s="379" t="inlineStr">
        <is>
          <t>210 classroom - faculty training (10am- 12pm)</t>
        </is>
      </c>
      <c r="G3" s="11" t="n"/>
      <c r="H3" s="380" t="inlineStr">
        <is>
          <t>CONVOCATION X2 @K.H.</t>
        </is>
      </c>
      <c r="I3" s="10" t="n"/>
      <c r="J3" s="380" t="inlineStr">
        <is>
          <t>CONVOCATION X2 @K.H.</t>
        </is>
      </c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9a-5:30</t>
        </is>
      </c>
      <c r="C4" s="18" t="n">
        <v>8.5</v>
      </c>
      <c r="D4" s="18" t="inlineStr">
        <is>
          <t>9a-5p</t>
        </is>
      </c>
      <c r="E4" s="18" t="n">
        <v>8</v>
      </c>
      <c r="F4" s="18" t="inlineStr">
        <is>
          <t>OFF</t>
        </is>
      </c>
      <c r="G4" s="18" t="n"/>
      <c r="H4" s="18" t="inlineStr">
        <is>
          <t>8a-9p</t>
        </is>
      </c>
      <c r="I4" s="18" t="n">
        <v>13</v>
      </c>
      <c r="J4" s="18" t="inlineStr">
        <is>
          <t>11a-10p event</t>
        </is>
      </c>
      <c r="K4" s="18" t="n">
        <v>11</v>
      </c>
      <c r="L4" s="28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7" customHeight="1" thickBot="1">
      <c r="A5" s="45" t="inlineStr">
        <is>
          <t>Aashima</t>
        </is>
      </c>
      <c r="B5" s="18" t="inlineStr">
        <is>
          <t>OFF</t>
        </is>
      </c>
      <c r="C5" s="18" t="n"/>
      <c r="D5" s="18" t="inlineStr">
        <is>
          <t>9a-5p</t>
        </is>
      </c>
      <c r="E5" s="18" t="n">
        <v>8</v>
      </c>
      <c r="F5" s="384" t="inlineStr">
        <is>
          <t>9a-5</t>
        </is>
      </c>
      <c r="G5" s="18" t="n">
        <v>8</v>
      </c>
      <c r="H5" s="384" t="inlineStr">
        <is>
          <t>8a-8p</t>
        </is>
      </c>
      <c r="I5" s="18" t="n">
        <v>12</v>
      </c>
      <c r="J5" s="384" t="inlineStr">
        <is>
          <t>9a-9p</t>
        </is>
      </c>
      <c r="K5" s="18" t="n">
        <v>12</v>
      </c>
      <c r="L5" s="289" t="inlineStr">
        <is>
          <t>OFF</t>
        </is>
      </c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 thickBot="1" thickTop="1">
      <c r="A6" s="350" t="inlineStr">
        <is>
          <t xml:space="preserve">NAHIM </t>
        </is>
      </c>
      <c r="B6" s="45" t="n"/>
      <c r="C6" s="47" t="n"/>
      <c r="D6" s="414" t="inlineStr">
        <is>
          <t>11:30a-3p event set-up/ 3-3:30 f2</t>
        </is>
      </c>
      <c r="E6" s="387" t="n">
        <v>4</v>
      </c>
      <c r="F6" s="414" t="inlineStr">
        <is>
          <t>10a-3 event set-up</t>
        </is>
      </c>
      <c r="G6" s="387" t="n">
        <v>5</v>
      </c>
      <c r="H6" s="386" t="inlineStr">
        <is>
          <t>7am-7p event (10hrs + 2 owed to us)</t>
        </is>
      </c>
      <c r="I6" s="387" t="n">
        <v>10</v>
      </c>
      <c r="J6" s="389" t="inlineStr">
        <is>
          <t>8a-7p EVENT (1hr Brk)</t>
        </is>
      </c>
      <c r="K6" s="73" t="n">
        <v>11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4" customHeight="1" thickBot="1" thickTop="1">
      <c r="A7" s="163" t="inlineStr">
        <is>
          <t>Pablo 2</t>
        </is>
      </c>
      <c r="B7" s="329" t="inlineStr">
        <is>
          <t>8a-3:30p f6 CC B@11:30</t>
        </is>
      </c>
      <c r="C7" s="314" t="n">
        <v>7</v>
      </c>
      <c r="D7" s="388" t="inlineStr">
        <is>
          <t>8a-3p f2 B@10:30a</t>
        </is>
      </c>
      <c r="E7" s="314" t="n">
        <v>6.5</v>
      </c>
      <c r="F7" s="417" t="n"/>
      <c r="G7" s="314" t="n"/>
      <c r="H7" s="385" t="inlineStr">
        <is>
          <t>12:30p-7p f6CC B@4</t>
        </is>
      </c>
      <c r="I7" s="381" t="n">
        <v>6</v>
      </c>
      <c r="J7" s="390" t="n"/>
      <c r="K7" s="382" t="n"/>
      <c r="L7" s="373" t="inlineStr">
        <is>
          <t>3p-7:30p f2/CL</t>
        </is>
      </c>
      <c r="M7" s="314" t="n">
        <v>4.5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0" customHeight="1" thickBot="1" thickTop="1">
      <c r="A8" s="163" t="inlineStr">
        <is>
          <t>Kavya C</t>
        </is>
      </c>
      <c r="B8" s="56" t="n"/>
      <c r="C8" s="314" t="n"/>
      <c r="D8" s="329" t="inlineStr">
        <is>
          <t>8a-4p f6 CC B@12</t>
        </is>
      </c>
      <c r="E8" s="314" t="n">
        <v>7.5</v>
      </c>
      <c r="F8" s="297" t="inlineStr">
        <is>
          <t>8a-3p f2 B@1</t>
        </is>
      </c>
      <c r="G8" s="314" t="n">
        <v>6.5</v>
      </c>
      <c r="H8" s="56" t="inlineStr">
        <is>
          <t>8a-5:30p f6CC B@1</t>
        </is>
      </c>
      <c r="I8" s="314" t="n">
        <v>9</v>
      </c>
      <c r="J8" s="409" t="inlineStr">
        <is>
          <t>10a-11:30a f6/ 11:30-12 f2/ 12-12:30 GR/ 12:30-7p f6 B@2:30</t>
        </is>
      </c>
      <c r="K8" s="314" t="n">
        <v>8.5</v>
      </c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0" customHeight="1" thickBot="1" thickTop="1">
      <c r="A9" s="45" t="inlineStr">
        <is>
          <t>Mickaela  C</t>
        </is>
      </c>
      <c r="B9" s="301" t="inlineStr">
        <is>
          <t>11:30a-3:30p f6</t>
        </is>
      </c>
      <c r="C9" s="314" t="n">
        <v>4</v>
      </c>
      <c r="D9" s="60" t="inlineStr">
        <is>
          <t>9:30a-11:30a GR B@11:30/ 12-6 GR CC</t>
        </is>
      </c>
      <c r="E9" s="314" t="n">
        <v>8</v>
      </c>
      <c r="F9" s="310" t="inlineStr">
        <is>
          <t>8a-3p f6 CC B@12</t>
        </is>
      </c>
      <c r="G9" s="314" t="n">
        <v>6.5</v>
      </c>
      <c r="H9" s="407" t="inlineStr">
        <is>
          <t>12-12:30 GR/ 12:30-1 f2/ 1-1:30 f6/ B@1:30/ 2-6 GR</t>
        </is>
      </c>
      <c r="I9" s="381" t="n">
        <v>5.5</v>
      </c>
      <c r="J9" s="410" t="inlineStr">
        <is>
          <t>10a-9pm (1hr break)</t>
        </is>
      </c>
      <c r="K9" s="382" t="n">
        <v>10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7.25" customHeight="1" thickBot="1" thickTop="1">
      <c r="A10" s="163" t="inlineStr">
        <is>
          <t>Viviana 3</t>
        </is>
      </c>
      <c r="B10" s="373" t="inlineStr">
        <is>
          <t>3:30p-7:30p f2/CL</t>
        </is>
      </c>
      <c r="C10" s="314" t="n">
        <v>4</v>
      </c>
      <c r="D10" s="373" t="inlineStr">
        <is>
          <t>3:30p-7:30p f2/CL</t>
        </is>
      </c>
      <c r="E10" s="314" t="n">
        <v>4</v>
      </c>
      <c r="F10" s="329" t="inlineStr">
        <is>
          <t>9-7p f6CC B@12:30</t>
        </is>
      </c>
      <c r="G10" s="406" t="n">
        <v>9.5</v>
      </c>
      <c r="H10" s="411" t="inlineStr">
        <is>
          <t>7a-12p EVENT lead on load and drop off</t>
        </is>
      </c>
      <c r="I10" s="393" t="n">
        <v>5</v>
      </c>
      <c r="J10" s="413" t="inlineStr">
        <is>
          <t>5p-10pm Lead on move &amp; offload</t>
        </is>
      </c>
      <c r="K10" s="382" t="n">
        <v>5</v>
      </c>
      <c r="L10" s="329" t="inlineStr">
        <is>
          <t>8a-4p f6CC B@2</t>
        </is>
      </c>
      <c r="M10" s="314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9" customHeight="1" thickTop="1">
      <c r="A11" s="60" t="inlineStr">
        <is>
          <t>Anastasia 3</t>
        </is>
      </c>
      <c r="B11" s="329" t="n"/>
      <c r="C11" s="314" t="n"/>
      <c r="D11" s="133" t="inlineStr">
        <is>
          <t>10a-11 f2/11a-12pm GR/ ELEV</t>
        </is>
      </c>
      <c r="E11" s="314" t="n">
        <v>2</v>
      </c>
      <c r="F11" s="329" t="n"/>
      <c r="G11" s="314" t="n"/>
      <c r="H11" s="408" t="inlineStr">
        <is>
          <t>8a-4p f2 B@12:30</t>
        </is>
      </c>
      <c r="I11" s="314" t="n">
        <v>7.5</v>
      </c>
      <c r="J11" s="412" t="inlineStr">
        <is>
          <t>8a-3:30p f2 CC</t>
        </is>
      </c>
      <c r="K11" s="314" t="n">
        <v>7</v>
      </c>
      <c r="L11" s="329" t="inlineStr">
        <is>
          <t>11a-7p f6CC B@3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163" t="inlineStr">
        <is>
          <t>MEG 3</t>
        </is>
      </c>
      <c r="B12" s="90" t="inlineStr">
        <is>
          <t>RO</t>
        </is>
      </c>
      <c r="C12" s="314" t="n"/>
      <c r="D12" s="273" t="n"/>
      <c r="E12" s="314" t="n"/>
      <c r="F12" s="329" t="inlineStr">
        <is>
          <t>RO</t>
        </is>
      </c>
      <c r="G12" s="326" t="n"/>
      <c r="H12" s="129" t="inlineStr">
        <is>
          <t>RO</t>
        </is>
      </c>
      <c r="I12" s="314" t="n"/>
      <c r="J12" s="347" t="inlineStr">
        <is>
          <t>8a-4p f6 CC</t>
        </is>
      </c>
      <c r="K12" s="314" t="n">
        <v>7.5</v>
      </c>
      <c r="L12" s="48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60" t="inlineStr">
        <is>
          <t>Achal 2</t>
        </is>
      </c>
      <c r="B13" s="329" t="inlineStr">
        <is>
          <t>8a-12p f6CC /2p-6p GR CC</t>
        </is>
      </c>
      <c r="C13" s="314" t="n">
        <v>8</v>
      </c>
      <c r="D13" s="60" t="n"/>
      <c r="E13" s="48" t="n"/>
      <c r="F13" s="45" t="inlineStr">
        <is>
          <t>11a-12p GR/ 12-1p f6/ 1-7:30pm f2/ CL B@2:30</t>
        </is>
      </c>
      <c r="G13" s="48" t="n">
        <v>8</v>
      </c>
      <c r="H13" s="38" t="n"/>
      <c r="I13" s="314" t="n"/>
      <c r="J13" s="301" t="inlineStr">
        <is>
          <t>3:30p-7:30p f2/CL</t>
        </is>
      </c>
      <c r="K13" s="48" t="n">
        <v>4</v>
      </c>
      <c r="L13" s="301" t="inlineStr">
        <is>
          <t>1:30-2 f2 /2p-3:30f6/ 3:30-6p GR</t>
        </is>
      </c>
      <c r="M13" s="314" t="n">
        <v>4.5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PRIYANKA 2</t>
        </is>
      </c>
      <c r="B14" s="319" t="inlineStr">
        <is>
          <t>7:30a-2pm GR B@10</t>
        </is>
      </c>
      <c r="C14" s="314" t="n">
        <v>6</v>
      </c>
      <c r="D14" s="273" t="n"/>
      <c r="E14" s="314" t="n"/>
      <c r="F14" s="319" t="inlineStr">
        <is>
          <t>7:30a-2pm GR B@11</t>
        </is>
      </c>
      <c r="G14" s="314" t="n">
        <v>6</v>
      </c>
      <c r="H14" s="319" t="inlineStr">
        <is>
          <t>7:30a-2pm GR B@12</t>
        </is>
      </c>
      <c r="I14" s="314" t="n">
        <v>6</v>
      </c>
      <c r="J14" s="319" t="inlineStr">
        <is>
          <t>7:30a-2pm GR B@12:30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7" customHeight="1" thickBot="1">
      <c r="A15" s="60" t="inlineStr">
        <is>
          <t>Arfa C</t>
        </is>
      </c>
      <c r="B15" s="419" t="inlineStr">
        <is>
          <t>8a-4 f2</t>
        </is>
      </c>
      <c r="C15" s="314" t="n">
        <v>7.5</v>
      </c>
      <c r="D15" s="60" t="inlineStr">
        <is>
          <t>11a-7p f6CC B@3:30</t>
        </is>
      </c>
      <c r="E15" s="48" t="n">
        <v>7.5</v>
      </c>
      <c r="F15" s="329" t="inlineStr">
        <is>
          <t>1p-6p GR CC</t>
        </is>
      </c>
      <c r="G15" s="314" t="n">
        <v>5</v>
      </c>
      <c r="H15" s="391" t="inlineStr">
        <is>
          <t>RO</t>
        </is>
      </c>
      <c r="I15" s="314" t="n"/>
      <c r="J15" s="391" t="inlineStr">
        <is>
          <t>RO</t>
        </is>
      </c>
      <c r="K15" s="314" t="n"/>
      <c r="L15" s="298" t="inlineStr">
        <is>
          <t>8a-3p f2 B@1:30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5" customHeight="1" thickBot="1" thickTop="1">
      <c r="A16" s="418" t="inlineStr">
        <is>
          <t>Taran C</t>
        </is>
      </c>
      <c r="B16" s="420" t="inlineStr">
        <is>
          <t>10a-10:30 GR/ 10:30-2p event set-up</t>
        </is>
      </c>
      <c r="C16" s="73" t="n">
        <v>4</v>
      </c>
      <c r="D16" s="297" t="inlineStr">
        <is>
          <t>RO</t>
        </is>
      </c>
      <c r="E16" s="314" t="n"/>
      <c r="F16" s="297" t="inlineStr">
        <is>
          <t>RO</t>
        </is>
      </c>
      <c r="G16" s="381" t="n"/>
      <c r="H16" s="392" t="inlineStr">
        <is>
          <t>7a-6p EVENT (1hr Brk)</t>
        </is>
      </c>
      <c r="I16" s="393" t="n">
        <v>10</v>
      </c>
      <c r="J16" s="392" t="inlineStr">
        <is>
          <t xml:space="preserve">9a-7:30p EVENT </t>
        </is>
      </c>
      <c r="K16" s="382" t="n">
        <v>10</v>
      </c>
      <c r="L16" s="69" t="n"/>
      <c r="M16" s="314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1" customHeight="1" thickBot="1" thickTop="1">
      <c r="A17" s="128" t="inlineStr">
        <is>
          <t>Sagar C</t>
        </is>
      </c>
      <c r="B17" s="383" t="n"/>
      <c r="C17" s="314" t="n"/>
      <c r="D17" s="155" t="inlineStr">
        <is>
          <t>7:30a-10a GR</t>
        </is>
      </c>
      <c r="E17" s="314" t="n">
        <v>2.5</v>
      </c>
      <c r="F17" s="415" t="n"/>
      <c r="G17" s="381" t="n"/>
      <c r="H17" s="394" t="inlineStr">
        <is>
          <t>9a-8p EVENT (1 HR BRK)</t>
        </is>
      </c>
      <c r="I17" s="393" t="n">
        <v>11</v>
      </c>
      <c r="J17" s="394" t="inlineStr">
        <is>
          <t xml:space="preserve">9a-8p EVENT </t>
        </is>
      </c>
      <c r="K17" s="382" t="n">
        <v>10.5</v>
      </c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1" customHeight="1" thickBot="1" thickTop="1">
      <c r="A18" s="163" t="inlineStr">
        <is>
          <t>Itohan 3</t>
        </is>
      </c>
      <c r="B18" s="374" t="inlineStr">
        <is>
          <t>3:30p-7p f6CC</t>
        </is>
      </c>
      <c r="C18" s="18" t="n">
        <v>3.5</v>
      </c>
      <c r="D18" s="329" t="n"/>
      <c r="E18" s="381" t="n"/>
      <c r="F18" s="416" t="inlineStr">
        <is>
          <t>1:30p-6p event set-up</t>
        </is>
      </c>
      <c r="G18" s="399" t="n">
        <v>4.5</v>
      </c>
      <c r="H18" s="397" t="inlineStr">
        <is>
          <t>3:30p-7:30p f2/CL</t>
        </is>
      </c>
      <c r="I18" s="381" t="n">
        <v>4</v>
      </c>
      <c r="J18" s="395" t="inlineStr">
        <is>
          <t xml:space="preserve">10a-10p EVENT </t>
        </is>
      </c>
      <c r="K18" s="73" t="n">
        <v>12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21" customHeight="1" thickBot="1" thickTop="1">
      <c r="A19" s="316" t="inlineStr">
        <is>
          <t>Arnob 2</t>
        </is>
      </c>
      <c r="B19" s="314" t="n"/>
      <c r="C19" s="314" t="n"/>
      <c r="D19" s="297" t="inlineStr">
        <is>
          <t>1:30-3p event set-up</t>
        </is>
      </c>
      <c r="E19" s="314" t="n">
        <v>1.5</v>
      </c>
      <c r="F19" s="408" t="n"/>
      <c r="G19" s="381" t="n"/>
      <c r="H19" s="398" t="inlineStr">
        <is>
          <t>9a-8p EVENT(1 HR break)</t>
        </is>
      </c>
      <c r="I19" s="393" t="n">
        <v>10</v>
      </c>
      <c r="J19" s="396" t="inlineStr">
        <is>
          <t>9a-2pm  EVENT</t>
        </is>
      </c>
      <c r="K19" s="382" t="n">
        <v>5</v>
      </c>
      <c r="L19" s="301" t="inlineStr">
        <is>
          <t xml:space="preserve">7:30a-3:30p GR </t>
        </is>
      </c>
      <c r="M19" s="48" t="n">
        <v>7.5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21" customHeight="1" thickBot="1" thickTop="1">
      <c r="A20" s="45" t="inlineStr">
        <is>
          <t>Intern- Levi 7</t>
        </is>
      </c>
      <c r="B20" s="101" t="inlineStr">
        <is>
          <t>1p-6pm GR</t>
        </is>
      </c>
      <c r="C20" s="48" t="n">
        <v>5</v>
      </c>
      <c r="D20" s="334" t="inlineStr">
        <is>
          <t>12p-5p w fran</t>
        </is>
      </c>
      <c r="E20" s="18" t="n">
        <v>5</v>
      </c>
      <c r="F20" s="82" t="n"/>
      <c r="G20" s="18" t="n"/>
      <c r="H20" s="400" t="n"/>
      <c r="I20" s="18" t="n"/>
      <c r="J20" s="404" t="inlineStr">
        <is>
          <t>1p-6pm GR</t>
        </is>
      </c>
      <c r="K20" s="48" t="n">
        <v>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1" customHeight="1" thickBot="1" thickTop="1">
      <c r="A21" s="45" t="inlineStr">
        <is>
          <t>Intern - Himanshu 7</t>
        </is>
      </c>
      <c r="B21" s="82" t="n"/>
      <c r="C21" s="18" t="n"/>
      <c r="D21" s="141" t="n"/>
      <c r="E21" s="18" t="n"/>
      <c r="F21" s="334" t="n"/>
      <c r="G21" s="20" t="n"/>
      <c r="H21" s="402" t="inlineStr">
        <is>
          <t>8a-3p EVENT</t>
        </is>
      </c>
      <c r="I21" s="403" t="n">
        <v>6.5</v>
      </c>
      <c r="J21" s="405" t="inlineStr">
        <is>
          <t>1-10pm Event</t>
        </is>
      </c>
      <c r="K21" s="382" t="n">
        <v>8.5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7" customHeight="1" thickTop="1">
      <c r="A22" s="52" t="inlineStr">
        <is>
          <t>Total PT DAILY HOURS</t>
        </is>
      </c>
      <c r="B22" s="3" t="inlineStr">
        <is>
          <t>MONDAY</t>
        </is>
      </c>
      <c r="C22" s="3">
        <f>SUM(C7:C21)</f>
        <v/>
      </c>
      <c r="D22" s="372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401" t="inlineStr">
        <is>
          <t>THURSDAY</t>
        </is>
      </c>
      <c r="I22" s="3">
        <f>SUM(I7:I21)</f>
        <v/>
      </c>
      <c r="J22" s="401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SUM(K7:K21)</f>
        <v/>
      </c>
      <c r="M23">
        <f>SUM(M7:M21)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375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9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5"/>
    <row r="36" ht="15" customHeight="1">
      <c r="T36" t="inlineStr">
        <is>
          <t xml:space="preserve"> </t>
        </is>
      </c>
    </row>
    <row r="37" ht="18.75" customHeight="1"/>
    <row r="38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tabSelected="1" zoomScale="110" zoomScaleNormal="110" workbookViewId="0">
      <selection activeCell="A22" sqref="A22:XFD22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46174</v>
      </c>
      <c r="C2" s="6" t="n"/>
      <c r="D2" s="5" t="n">
        <v>46175</v>
      </c>
      <c r="E2" s="6" t="n"/>
      <c r="F2" s="5" t="n">
        <v>46176</v>
      </c>
      <c r="G2" s="6" t="n"/>
      <c r="H2" s="5" t="n">
        <v>46177</v>
      </c>
      <c r="I2" s="6" t="n"/>
      <c r="J2" s="5" t="n">
        <v>46178</v>
      </c>
      <c r="K2" s="6" t="n"/>
      <c r="L2" s="5" t="n">
        <v>46179</v>
      </c>
      <c r="M2" s="6" t="n"/>
      <c r="N2" s="5" t="n">
        <v>46180</v>
      </c>
      <c r="O2" s="7" t="n"/>
      <c r="P2" s="3" t="n"/>
    </row>
    <row r="3" ht="96.5" customHeight="1">
      <c r="A3" s="8" t="inlineStr">
        <is>
          <t>EVENTS</t>
        </is>
      </c>
      <c r="B3" s="62" t="inlineStr">
        <is>
          <t>Lawrence +storeage move to 80 BL -6p-6a</t>
        </is>
      </c>
      <c r="C3" s="10" t="n"/>
      <c r="D3" s="62" t="inlineStr">
        <is>
          <t>set-up 80 Bloor</t>
        </is>
      </c>
      <c r="E3" s="10" t="n"/>
      <c r="F3" s="62" t="inlineStr">
        <is>
          <t xml:space="preserve">SLT Retreat </t>
        </is>
      </c>
      <c r="G3" s="11" t="n"/>
      <c r="H3" s="62" t="inlineStr">
        <is>
          <t xml:space="preserve">SLT Retreat    9am-5pm @80 Bloor           //                           Network with the best with Jaipaul Massey-Singh 1pm- 2:30pm @ Ground </t>
        </is>
      </c>
      <c r="I3" s="10" t="n"/>
      <c r="J3" s="62" t="n"/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2p-3a</t>
        </is>
      </c>
      <c r="C4" s="18" t="n">
        <v>13</v>
      </c>
      <c r="D4" s="18" t="inlineStr">
        <is>
          <t>12p-7:30p</t>
        </is>
      </c>
      <c r="E4" s="18" t="n">
        <v>7.5</v>
      </c>
      <c r="F4" s="18" t="inlineStr">
        <is>
          <t>9a-4 wfh</t>
        </is>
      </c>
      <c r="G4" s="18" t="n">
        <v>7</v>
      </c>
      <c r="H4" s="18" t="inlineStr">
        <is>
          <t>9a-4</t>
        </is>
      </c>
      <c r="I4" s="18" t="n">
        <v>7</v>
      </c>
      <c r="J4" s="18" t="inlineStr">
        <is>
          <t xml:space="preserve">9a-4p 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9a-4p (1hr owed)</t>
        </is>
      </c>
      <c r="C5" s="18" t="n">
        <v>8</v>
      </c>
      <c r="D5" s="18" t="inlineStr">
        <is>
          <t>9a-4p (1 hr owed)</t>
        </is>
      </c>
      <c r="E5" s="18" t="n">
        <v>8</v>
      </c>
      <c r="F5" s="18" t="inlineStr">
        <is>
          <t>9a-4 (1 hr owed)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350" t="inlineStr">
        <is>
          <t xml:space="preserve">NAHIM </t>
        </is>
      </c>
      <c r="B6" s="45" t="n"/>
      <c r="C6" s="48" t="n"/>
      <c r="D6" s="50" t="inlineStr">
        <is>
          <t>set-up 80 Bloor 8a-4:30p</t>
        </is>
      </c>
      <c r="E6" s="48" t="n">
        <v>8</v>
      </c>
      <c r="F6" s="45" t="inlineStr">
        <is>
          <t>6:45a-5:45p 80 Bloor</t>
        </is>
      </c>
      <c r="G6" s="48" t="n">
        <v>10.5</v>
      </c>
      <c r="H6" s="45" t="inlineStr">
        <is>
          <t>7:30a-5:30 80-bloor</t>
        </is>
      </c>
      <c r="I6" s="48" t="n">
        <v>9.5</v>
      </c>
      <c r="J6" s="45" t="inlineStr">
        <is>
          <t>Next wk 2 hrs</t>
        </is>
      </c>
      <c r="K6" s="48" t="n">
        <v>2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63" customHeight="1">
      <c r="A7" s="163" t="inlineStr">
        <is>
          <t>Pablo</t>
        </is>
      </c>
      <c r="B7" s="329" t="inlineStr">
        <is>
          <t>CC WFH 2p-3:30p</t>
        </is>
      </c>
      <c r="C7" s="314" t="n">
        <v>1.5</v>
      </c>
      <c r="D7" s="371" t="inlineStr">
        <is>
          <t>set-up 80 Bloor 8a-1p</t>
        </is>
      </c>
      <c r="E7" s="314" t="n">
        <v>5</v>
      </c>
      <c r="F7" s="325" t="inlineStr">
        <is>
          <t xml:space="preserve">7a-9a/ 11a-7:30 @80bloor </t>
        </is>
      </c>
      <c r="G7" s="314" t="n">
        <v>10</v>
      </c>
      <c r="H7" s="334" t="inlineStr">
        <is>
          <t xml:space="preserve">1p-6p @ 80 Bloor </t>
        </is>
      </c>
      <c r="I7" s="314" t="n">
        <v>5</v>
      </c>
      <c r="J7" s="328" t="inlineStr">
        <is>
          <t>8a-12p f2</t>
        </is>
      </c>
      <c r="K7" s="314" t="n">
        <v>4</v>
      </c>
      <c r="L7" s="359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63" t="inlineStr">
        <is>
          <t>Kavya C</t>
        </is>
      </c>
      <c r="B8" s="56" t="inlineStr">
        <is>
          <t>7:45a-12:45p</t>
        </is>
      </c>
      <c r="C8" s="314" t="n">
        <v>5</v>
      </c>
      <c r="D8" s="56" t="inlineStr">
        <is>
          <t>8a-5p f6 CC B@12:30</t>
        </is>
      </c>
      <c r="E8" s="314" t="n">
        <v>8.5</v>
      </c>
      <c r="F8" s="327" t="inlineStr">
        <is>
          <t>8a-3p f6 CC B@12</t>
        </is>
      </c>
      <c r="G8" s="314" t="n">
        <v>6.5</v>
      </c>
      <c r="H8" s="327" t="inlineStr">
        <is>
          <t>8a-3p f6 CC B@1</t>
        </is>
      </c>
      <c r="I8" s="314" t="n">
        <v>6.5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45" t="inlineStr">
        <is>
          <t>Mickaela  C</t>
        </is>
      </c>
      <c r="B9" s="329" t="inlineStr">
        <is>
          <t>8a-4p f6CC B@11</t>
        </is>
      </c>
      <c r="C9" s="314" t="n">
        <v>7.5</v>
      </c>
      <c r="D9" s="60" t="inlineStr">
        <is>
          <t>12p-6p GR CC B@2</t>
        </is>
      </c>
      <c r="E9" s="314" t="n">
        <v>5.5</v>
      </c>
      <c r="F9" s="352" t="inlineStr">
        <is>
          <t>9a-1:30p f2 CC</t>
        </is>
      </c>
      <c r="G9" s="314" t="n">
        <v>4.5</v>
      </c>
      <c r="H9" s="326" t="inlineStr">
        <is>
          <t>11:30a-1:30p f6 CC B@1:30 / 2-6 GR CC</t>
        </is>
      </c>
      <c r="I9" s="48" t="n">
        <v>6</v>
      </c>
      <c r="J9" s="45" t="inlineStr">
        <is>
          <t xml:space="preserve">8a-3pf6CC tentatively </t>
        </is>
      </c>
      <c r="K9" s="314" t="n">
        <v>6.5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7" customHeight="1">
      <c r="A10" s="163" t="inlineStr">
        <is>
          <t xml:space="preserve">Viviana </t>
        </is>
      </c>
      <c r="B10" s="330" t="inlineStr">
        <is>
          <t>RO</t>
        </is>
      </c>
      <c r="C10" s="314" t="n"/>
      <c r="D10" s="353" t="inlineStr">
        <is>
          <t>RO</t>
        </is>
      </c>
      <c r="E10" s="314" t="n"/>
      <c r="F10" s="325" t="inlineStr">
        <is>
          <t>RO</t>
        </is>
      </c>
      <c r="G10" s="314" t="n"/>
      <c r="H10" s="38" t="n"/>
      <c r="I10" s="314" t="n"/>
      <c r="J10" s="353" t="inlineStr">
        <is>
          <t>RO</t>
        </is>
      </c>
      <c r="K10" s="314" t="n"/>
      <c r="L10" s="325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9" customHeight="1">
      <c r="A11" s="60" t="inlineStr">
        <is>
          <t xml:space="preserve">Anastasia </t>
        </is>
      </c>
      <c r="B11" s="329" t="inlineStr">
        <is>
          <t>8a-6:30p f2 B@1:30</t>
        </is>
      </c>
      <c r="C11" s="314" t="n">
        <v>10</v>
      </c>
      <c r="D11" s="133" t="inlineStr">
        <is>
          <t>8:30a-12p f6CC</t>
        </is>
      </c>
      <c r="E11" s="314" t="n">
        <v>3.5</v>
      </c>
      <c r="F11" s="329" t="n"/>
      <c r="G11" s="314" t="n"/>
      <c r="H11" s="329" t="n"/>
      <c r="I11" s="314" t="n"/>
      <c r="J11" s="297" t="inlineStr">
        <is>
          <t>12p-3p f2</t>
        </is>
      </c>
      <c r="K11" s="314" t="n">
        <v>3</v>
      </c>
      <c r="L11" s="329" t="inlineStr">
        <is>
          <t>11a-7p f6 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29" t="inlineStr">
        <is>
          <t>RO</t>
        </is>
      </c>
      <c r="G12" s="314" t="n"/>
      <c r="H12" s="129" t="n"/>
      <c r="I12" s="314" t="n"/>
      <c r="J12" s="310" t="n"/>
      <c r="K12" s="314" t="n"/>
      <c r="L12" s="56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9" customHeight="1">
      <c r="A13" s="60" t="inlineStr">
        <is>
          <t>Achal</t>
        </is>
      </c>
      <c r="B13" s="60" t="inlineStr">
        <is>
          <t>1:30-2 f2/2p-6p GRCC/ B@6 / 6:30p-7:30 f2/ closing</t>
        </is>
      </c>
      <c r="C13" s="48" t="n">
        <v>5.5</v>
      </c>
      <c r="D13" s="50" t="inlineStr">
        <is>
          <t>set-up 80 Bloor 8a-4p</t>
        </is>
      </c>
      <c r="E13" s="48" t="n">
        <v>7.5</v>
      </c>
      <c r="F13" s="60" t="n"/>
      <c r="G13" s="48" t="n"/>
      <c r="H13" s="38" t="n"/>
      <c r="I13" s="314" t="n"/>
      <c r="J13" s="329" t="inlineStr">
        <is>
          <t>11a-11:30 GR / 11:30a-3p f6CC</t>
        </is>
      </c>
      <c r="K13" s="48" t="n">
        <v>4</v>
      </c>
      <c r="L13" s="378" t="inlineStr">
        <is>
          <t>12-12:30 GR/ 12:30-7:30p f2/closing</t>
        </is>
      </c>
      <c r="M13" s="314" t="n">
        <v>7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PRIYANKA</t>
        </is>
      </c>
      <c r="B14" s="324" t="inlineStr">
        <is>
          <t>7:30a-2p (GR) B@11</t>
        </is>
      </c>
      <c r="C14" s="314" t="n">
        <v>6</v>
      </c>
      <c r="D14" s="273" t="n"/>
      <c r="E14" s="314" t="n"/>
      <c r="F14" s="304" t="inlineStr">
        <is>
          <t>7:30a-2p (GR)  B@12</t>
        </is>
      </c>
      <c r="G14" s="314" t="n">
        <v>6</v>
      </c>
      <c r="H14" s="304" t="inlineStr">
        <is>
          <t>7:30a-2p (GR)  B@12</t>
        </is>
      </c>
      <c r="I14" s="314" t="n">
        <v>6</v>
      </c>
      <c r="J14" s="324" t="inlineStr">
        <is>
          <t>7:30a-2p (GR) B@11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60" t="inlineStr">
        <is>
          <t>Arfa</t>
        </is>
      </c>
      <c r="B15" s="60" t="inlineStr">
        <is>
          <t>11a-11:30 GR/ 11:30-7p f6CC B@3</t>
        </is>
      </c>
      <c r="C15" s="48" t="n">
        <v>7.5</v>
      </c>
      <c r="D15" s="329" t="inlineStr">
        <is>
          <t>3p-7p f6CC</t>
        </is>
      </c>
      <c r="E15" s="314" t="n">
        <v>4</v>
      </c>
      <c r="F15" s="301" t="inlineStr">
        <is>
          <t xml:space="preserve">1-7:30pm f6 CC tentative </t>
        </is>
      </c>
      <c r="G15" s="314" t="n">
        <v>5.5</v>
      </c>
      <c r="H15" s="329" t="inlineStr">
        <is>
          <t>1:30p-7p f6CC B@3:30</t>
        </is>
      </c>
      <c r="I15" s="314" t="n">
        <v>5</v>
      </c>
      <c r="J15" s="60" t="inlineStr">
        <is>
          <t>4-7p f6CC</t>
        </is>
      </c>
      <c r="K15" s="48" t="n">
        <v>3</v>
      </c>
      <c r="L15" s="331" t="inlineStr">
        <is>
          <t xml:space="preserve">8a-2:30 f6CC </t>
        </is>
      </c>
      <c r="M15" s="48" t="n">
        <v>6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28" t="inlineStr">
        <is>
          <t>Taran C</t>
        </is>
      </c>
      <c r="B16" s="328" t="n"/>
      <c r="C16" s="314" t="n"/>
      <c r="D16" s="153" t="inlineStr">
        <is>
          <t>8a-3p f2 B@12</t>
        </is>
      </c>
      <c r="E16" s="314" t="n">
        <v>6.5</v>
      </c>
      <c r="F16" s="153" t="inlineStr">
        <is>
          <t>7:30a-12 f2 B@ 12/ 12:30-3 stationary inv</t>
        </is>
      </c>
      <c r="G16" s="314" t="n">
        <v>7</v>
      </c>
      <c r="H16" s="153" t="inlineStr">
        <is>
          <t>8a-3p f2 B@12</t>
        </is>
      </c>
      <c r="I16" s="314" t="n">
        <v>6.5</v>
      </c>
      <c r="J16" s="69" t="n"/>
      <c r="K16" s="314" t="n"/>
      <c r="L16" s="304" t="inlineStr">
        <is>
          <t>RO</t>
        </is>
      </c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128" t="inlineStr">
        <is>
          <t>Sagar C</t>
        </is>
      </c>
      <c r="B17" s="314" t="n"/>
      <c r="C17" s="314" t="n"/>
      <c r="D17" s="155" t="inlineStr">
        <is>
          <t>7:30a-12p GROUND</t>
        </is>
      </c>
      <c r="E17" s="314" t="n">
        <v>4.5</v>
      </c>
      <c r="F17" s="314" t="n"/>
      <c r="G17" s="48" t="n"/>
      <c r="H17" s="314" t="inlineStr">
        <is>
          <t>10:30a-2:30p event/ 3-3:30 f2</t>
        </is>
      </c>
      <c r="I17" s="48" t="n">
        <v>5</v>
      </c>
      <c r="J17" s="314" t="inlineStr">
        <is>
          <t>1:30p-6p GR</t>
        </is>
      </c>
      <c r="K17" s="48" t="n">
        <v>4.5</v>
      </c>
      <c r="L17" s="301" t="inlineStr">
        <is>
          <t>7:30a-6p GR B@12</t>
        </is>
      </c>
      <c r="M17" s="48" t="n">
        <v>10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9" customHeight="1">
      <c r="A18" s="128" t="inlineStr">
        <is>
          <t>Itohan</t>
        </is>
      </c>
      <c r="B18" s="303" t="n"/>
      <c r="C18" s="18" t="n"/>
      <c r="D18" s="45" t="inlineStr">
        <is>
          <t xml:space="preserve">1-1:30 f2/1:30-2 f6/ 2-2:30 GR/ B@2:30/ 3-7:30 f2/ closing </t>
        </is>
      </c>
      <c r="E18" s="18" t="n">
        <v>6</v>
      </c>
      <c r="F18" s="85" t="inlineStr">
        <is>
          <t xml:space="preserve">12p-12:30 GR/ 12:30-7:30p f2/ closing </t>
        </is>
      </c>
      <c r="G18" s="18" t="n">
        <v>7</v>
      </c>
      <c r="H18" s="355" t="inlineStr">
        <is>
          <t>3:30p-7:30p closing/f2</t>
        </is>
      </c>
      <c r="I18" s="18" t="n">
        <v>4</v>
      </c>
      <c r="J18" s="314" t="inlineStr">
        <is>
          <t>12p-2:30 f2CC/ B@2:30/ 3p-7:30p f2/ closing</t>
        </is>
      </c>
      <c r="K18" s="48" t="n">
        <v>7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9" customHeight="1">
      <c r="A19" s="316" t="inlineStr">
        <is>
          <t>Arnob</t>
        </is>
      </c>
      <c r="B19" s="314" t="n"/>
      <c r="C19" s="314" t="n"/>
      <c r="D19" s="134" t="inlineStr">
        <is>
          <t>8a-3p TR w Kavya f6</t>
        </is>
      </c>
      <c r="E19" s="348" t="n">
        <v>6.5</v>
      </c>
      <c r="F19" s="349" t="inlineStr">
        <is>
          <t>8a-4:30pm TR CC f6</t>
        </is>
      </c>
      <c r="G19" s="348" t="n">
        <v>8</v>
      </c>
      <c r="H19" s="349" t="inlineStr">
        <is>
          <t>8a-6pm TR CC f6</t>
        </is>
      </c>
      <c r="I19" s="314" t="n">
        <v>9.5</v>
      </c>
      <c r="J19" s="158" t="n"/>
      <c r="K19" s="314" t="n"/>
      <c r="L19" s="301" t="inlineStr">
        <is>
          <t>8a-1p f2</t>
        </is>
      </c>
      <c r="M19" s="314" t="n">
        <v>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32" customHeight="1">
      <c r="A20" s="45" t="inlineStr">
        <is>
          <t>Intern- Levi 6</t>
        </is>
      </c>
      <c r="B20" s="82" t="n"/>
      <c r="C20" s="18" t="n"/>
      <c r="D20" s="334" t="inlineStr">
        <is>
          <t>12:30p-3:30 w Fran</t>
        </is>
      </c>
      <c r="E20" s="18" t="n">
        <v>3</v>
      </c>
      <c r="F20" s="82" t="n"/>
      <c r="G20" s="18" t="n"/>
      <c r="H20" s="356" t="inlineStr">
        <is>
          <t>9a-12p w fran (12-12:30 GR)/ B@12:30/ 1-3 w fran</t>
        </is>
      </c>
      <c r="I20" s="18" t="n">
        <v>5.5</v>
      </c>
      <c r="J20" s="82" t="inlineStr">
        <is>
          <t>9a-4p w fran</t>
        </is>
      </c>
      <c r="K20" s="48" t="n">
        <v>6.5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9" customHeight="1">
      <c r="A21" s="45" t="inlineStr">
        <is>
          <t>Intern - Himanshu 6</t>
        </is>
      </c>
      <c r="B21" s="85" t="inlineStr">
        <is>
          <t>9a-3p w Aashima</t>
        </is>
      </c>
      <c r="C21" s="18" t="n">
        <v>5.5</v>
      </c>
      <c r="D21" s="141" t="n"/>
      <c r="E21" s="18" t="n"/>
      <c r="F21" s="334" t="inlineStr">
        <is>
          <t>2p-6pm GR</t>
        </is>
      </c>
      <c r="G21" s="18" t="n">
        <v>4</v>
      </c>
      <c r="H21" s="376" t="inlineStr">
        <is>
          <t>9a-3p w fran</t>
        </is>
      </c>
      <c r="I21" s="18" t="n">
        <v>5.5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72" t="inlineStr">
        <is>
          <t>Monday</t>
        </is>
      </c>
      <c r="C22" s="3">
        <f>SUM(C7:C21)</f>
        <v/>
      </c>
      <c r="D22" s="3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372" t="inlineStr">
        <is>
          <t>Thursday</t>
        </is>
      </c>
      <c r="I22" s="3">
        <f>SUM(I7:I21)</f>
        <v/>
      </c>
      <c r="J22" s="37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P23" s="377">
        <f>P22*20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9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I7" sqref="I7"/>
    </sheetView>
  </sheetViews>
  <sheetFormatPr baseColWidth="10" defaultColWidth="8.83203125" defaultRowHeight="15"/>
  <cols>
    <col width="26.5" customWidth="1" min="1" max="1"/>
    <col width="20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46167</v>
      </c>
      <c r="C2" s="6" t="n"/>
      <c r="D2" s="5" t="n">
        <v>46168</v>
      </c>
      <c r="E2" s="6" t="n"/>
      <c r="F2" s="5" t="n">
        <v>46169</v>
      </c>
      <c r="G2" s="6" t="n"/>
      <c r="H2" s="5" t="n">
        <v>46170</v>
      </c>
      <c r="I2" s="6" t="n"/>
      <c r="J2" s="5" t="n">
        <v>46171</v>
      </c>
      <c r="K2" s="6" t="n"/>
      <c r="L2" s="5" t="n">
        <v>46172</v>
      </c>
      <c r="M2" s="6" t="n"/>
      <c r="N2" s="5" t="n">
        <v>46173</v>
      </c>
      <c r="O2" s="7" t="n"/>
      <c r="P2" s="3" t="n"/>
    </row>
    <row r="3" ht="64" customHeight="1">
      <c r="A3" s="8" t="inlineStr">
        <is>
          <t>EVENTS</t>
        </is>
      </c>
      <c r="B3" s="62" t="inlineStr">
        <is>
          <t>HKUST 9am-12pm 15ppl @ MR 6B.   // Instituto Atlantico 3pm - 5pm 8ppl @MR 6B</t>
        </is>
      </c>
      <c r="C3" s="10" t="n"/>
      <c r="D3" s="62" t="inlineStr">
        <is>
          <t xml:space="preserve">Chinese Consulate 2pm-5pm 15ppl @ MR 6B </t>
        </is>
      </c>
      <c r="E3" s="10" t="n"/>
      <c r="F3" s="62" t="inlineStr">
        <is>
          <t xml:space="preserve">Agin Court Highschool 10am - 12pm  7ppl @ 2A   //                                                                </t>
        </is>
      </c>
      <c r="G3" s="11" t="n"/>
      <c r="H3" s="62" t="inlineStr">
        <is>
          <t>Flagship - Tech 9 am - 4pm  120ppl   //      NICHE Visit 9am- 4pm</t>
        </is>
      </c>
      <c r="I3" s="10" t="n"/>
      <c r="J3" s="62" t="inlineStr">
        <is>
          <t>NICHE Visit 9am 11-12</t>
        </is>
      </c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Offsite 8a-4p</t>
        </is>
      </c>
      <c r="G4" s="18" t="n">
        <v>8</v>
      </c>
      <c r="H4" s="18" t="inlineStr">
        <is>
          <t>8a-8p offsite</t>
        </is>
      </c>
      <c r="I4" s="18" t="n">
        <v>12</v>
      </c>
      <c r="J4" s="18" t="inlineStr">
        <is>
          <t>Offsite 9a-8:30p</t>
        </is>
      </c>
      <c r="K4" s="18" t="n">
        <v>11.5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 xml:space="preserve">8a-4p 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32" customHeight="1">
      <c r="A6" s="350" t="inlineStr">
        <is>
          <t xml:space="preserve">NAHIM </t>
        </is>
      </c>
      <c r="B6" s="45" t="inlineStr">
        <is>
          <t>8a-4p events + fran</t>
        </is>
      </c>
      <c r="C6" s="48" t="n">
        <v>7.5</v>
      </c>
      <c r="D6" s="45" t="inlineStr">
        <is>
          <t>9:15a-5:15p events + fran</t>
        </is>
      </c>
      <c r="E6" s="48" t="n">
        <v>7.5</v>
      </c>
      <c r="F6" s="45" t="inlineStr">
        <is>
          <t>8a-5:10</t>
        </is>
      </c>
      <c r="G6" s="48" t="n">
        <v>8.5</v>
      </c>
      <c r="H6" s="45" t="inlineStr">
        <is>
          <t xml:space="preserve">8a-2:50 </t>
        </is>
      </c>
      <c r="I6" s="48" t="n">
        <v>6.5</v>
      </c>
      <c r="J6" s="45" t="n"/>
      <c r="K6" s="48" t="n"/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01" t="inlineStr">
        <is>
          <t>7:30-12:30p (TR PRIYANKA on GR OPENING)</t>
        </is>
      </c>
      <c r="C7" s="314" t="n">
        <v>5</v>
      </c>
      <c r="D7" s="153" t="inlineStr">
        <is>
          <t>7:30a-12p GR/ B@12/ 12:30p-3p F6/EVENT/ 3-3:30p GR</t>
        </is>
      </c>
      <c r="E7" s="314" t="n">
        <v>7.5</v>
      </c>
      <c r="F7" s="325" t="n"/>
      <c r="G7" s="314" t="n"/>
      <c r="H7" s="334" t="inlineStr">
        <is>
          <t>3:30p-7:30p F2 CL</t>
        </is>
      </c>
      <c r="I7" s="314" t="n">
        <v>4</v>
      </c>
      <c r="J7" s="328" t="inlineStr">
        <is>
          <t xml:space="preserve">10a-2p W Fran Bloor </t>
        </is>
      </c>
      <c r="K7" s="314" t="n">
        <v>4</v>
      </c>
      <c r="L7" s="359" t="inlineStr">
        <is>
          <t>3:30p-7:30p F2/CL</t>
        </is>
      </c>
      <c r="M7" s="48" t="n">
        <v>4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60" t="inlineStr">
        <is>
          <t>Kavya C</t>
        </is>
      </c>
      <c r="B8" s="56" t="inlineStr">
        <is>
          <t xml:space="preserve">8a-1p F6  </t>
        </is>
      </c>
      <c r="C8" s="314" t="n">
        <v>5</v>
      </c>
      <c r="D8" s="56" t="inlineStr">
        <is>
          <t>8a-3:30p F6  CC B@11a</t>
        </is>
      </c>
      <c r="E8" s="314" t="n">
        <v>7</v>
      </c>
      <c r="F8" s="327" t="inlineStr">
        <is>
          <t>WFH 8:30a-11a CC</t>
        </is>
      </c>
      <c r="G8" s="314" t="n">
        <v>2.5</v>
      </c>
      <c r="H8" s="240" t="inlineStr">
        <is>
          <t>9a-4p Niche visit</t>
        </is>
      </c>
      <c r="I8" s="314" t="n">
        <v>6.5</v>
      </c>
      <c r="J8" s="240" t="inlineStr">
        <is>
          <t>9a-12 Niche Visit</t>
        </is>
      </c>
      <c r="K8" s="314" t="n">
        <v>3</v>
      </c>
      <c r="L8" s="69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1.25" customHeight="1">
      <c r="A9" s="45" t="inlineStr">
        <is>
          <t>Mickaela  C</t>
        </is>
      </c>
      <c r="B9" s="329" t="inlineStr">
        <is>
          <t>1p-6p CC GR</t>
        </is>
      </c>
      <c r="C9" s="314" t="n">
        <v>5</v>
      </c>
      <c r="D9" s="329" t="inlineStr">
        <is>
          <t>12p-6p CC GR B@3p</t>
        </is>
      </c>
      <c r="E9" s="314" t="n">
        <v>5.5</v>
      </c>
      <c r="F9" s="352" t="n"/>
      <c r="G9" s="314" t="n"/>
      <c r="H9" s="370" t="inlineStr">
        <is>
          <t>9a-5:30p F6 CC B@3:30</t>
        </is>
      </c>
      <c r="I9" s="314" t="n">
        <v>8</v>
      </c>
      <c r="J9" s="360" t="inlineStr">
        <is>
          <t>1p-6p CC GR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60" t="inlineStr">
        <is>
          <t xml:space="preserve">Viviana </t>
        </is>
      </c>
      <c r="B10" s="22" t="inlineStr">
        <is>
          <t>3:30p-7:30 F2 CL</t>
        </is>
      </c>
      <c r="C10" s="314" t="n">
        <v>4</v>
      </c>
      <c r="D10" s="22" t="inlineStr">
        <is>
          <t>3:30p-7:30 F2 CL</t>
        </is>
      </c>
      <c r="E10" s="314" t="n">
        <v>4</v>
      </c>
      <c r="F10" s="301" t="inlineStr">
        <is>
          <t>11a-7:30p EVENT SET UP + Breaks</t>
        </is>
      </c>
      <c r="G10" s="314" t="n">
        <v>8</v>
      </c>
      <c r="H10" s="38" t="n"/>
      <c r="I10" s="314" t="n"/>
      <c r="J10" s="361" t="inlineStr">
        <is>
          <t>RO</t>
        </is>
      </c>
      <c r="K10" s="314" t="n"/>
      <c r="L10" s="301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60" t="inlineStr">
        <is>
          <t xml:space="preserve">Anastasia </t>
        </is>
      </c>
      <c r="B11" s="243" t="n"/>
      <c r="C11" s="314" t="n"/>
      <c r="D11" s="22" t="n"/>
      <c r="E11" s="314" t="n"/>
      <c r="F11" s="362" t="inlineStr">
        <is>
          <t>8a-3:00p F6 CC B@1:30p</t>
        </is>
      </c>
      <c r="G11" s="314" t="n">
        <v>6.5</v>
      </c>
      <c r="H11" s="363" t="inlineStr">
        <is>
          <t>3:30p-7p F6 CC</t>
        </is>
      </c>
      <c r="I11" s="314" t="n">
        <v>3.5</v>
      </c>
      <c r="J11" s="347" t="inlineStr">
        <is>
          <t>8a-3p F6 CC B@12:30</t>
        </is>
      </c>
      <c r="K11" s="314" t="n">
        <v>6.5</v>
      </c>
      <c r="L11" s="60" t="inlineStr">
        <is>
          <t>11a-7p F6 CC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16" customHeight="1">
      <c r="A12" s="60" t="inlineStr">
        <is>
          <t>MEG</t>
        </is>
      </c>
      <c r="B12" s="364" t="inlineStr">
        <is>
          <t>8a-12p F6 CC</t>
        </is>
      </c>
      <c r="C12" s="314" t="n">
        <v>4</v>
      </c>
      <c r="D12" s="273" t="n"/>
      <c r="E12" s="314" t="n"/>
      <c r="F12" s="301" t="inlineStr">
        <is>
          <t>11a-7p f6Cc</t>
        </is>
      </c>
      <c r="G12" s="314" t="n">
        <v>7.5</v>
      </c>
      <c r="H12" s="213" t="inlineStr">
        <is>
          <t>8a-12p F6 CC</t>
        </is>
      </c>
      <c r="I12" s="314" t="n">
        <v>4</v>
      </c>
      <c r="J12" s="368" t="n"/>
      <c r="K12" s="314" t="n"/>
      <c r="L12" s="56" t="inlineStr">
        <is>
          <t>8a-4p CC F6</t>
        </is>
      </c>
      <c r="M12" s="314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16" customHeight="1">
      <c r="A13" s="60" t="inlineStr">
        <is>
          <t>Achal</t>
        </is>
      </c>
      <c r="B13" s="60" t="inlineStr">
        <is>
          <t>11a-3:30p F6 CC</t>
        </is>
      </c>
      <c r="C13" s="48" t="n">
        <v>4.5</v>
      </c>
      <c r="D13" s="60" t="n"/>
      <c r="E13" s="48" t="n"/>
      <c r="F13" s="60" t="inlineStr">
        <is>
          <t>1:30p-6p GR CC</t>
        </is>
      </c>
      <c r="G13" s="48" t="n">
        <v>4.5</v>
      </c>
      <c r="H13" s="38" t="n"/>
      <c r="I13" s="314" t="n"/>
      <c r="J13" s="301" t="inlineStr">
        <is>
          <t>8a-4p F2</t>
        </is>
      </c>
      <c r="K13" s="48" t="n">
        <v>7.5</v>
      </c>
      <c r="L13" s="301" t="inlineStr">
        <is>
          <t>8a-4p F2 B@1</t>
        </is>
      </c>
      <c r="M13" s="314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PRIYANKA</t>
        </is>
      </c>
      <c r="B14" s="324" t="inlineStr">
        <is>
          <t>7:30a-1p (GR) B@10:30</t>
        </is>
      </c>
      <c r="C14" s="314" t="n">
        <v>5</v>
      </c>
      <c r="D14" s="273" t="n"/>
      <c r="E14" s="314" t="n"/>
      <c r="F14" s="324" t="inlineStr">
        <is>
          <t>7:30a-2p (GR) B@10:30</t>
        </is>
      </c>
      <c r="G14" s="314" t="n">
        <v>6</v>
      </c>
      <c r="H14" s="324" t="inlineStr">
        <is>
          <t>7:30a-1p (GR) B@10:30</t>
        </is>
      </c>
      <c r="I14" s="314" t="n">
        <v>5</v>
      </c>
      <c r="J14" s="324" t="inlineStr">
        <is>
          <t>7:30a-1p (GR) B@10:30</t>
        </is>
      </c>
      <c r="K14" s="314" t="n">
        <v>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60" t="inlineStr">
        <is>
          <t>Arfa</t>
        </is>
      </c>
      <c r="B15" s="301" t="inlineStr">
        <is>
          <t>8a-4p F2</t>
        </is>
      </c>
      <c r="C15" s="314" t="n">
        <v>7.5</v>
      </c>
      <c r="D15" s="60" t="inlineStr">
        <is>
          <t>11a-7p F6 CC</t>
        </is>
      </c>
      <c r="E15" s="314" t="n">
        <v>7.5</v>
      </c>
      <c r="F15" s="48" t="inlineStr">
        <is>
          <t>8a-4p F2</t>
        </is>
      </c>
      <c r="G15" s="314" t="n">
        <v>7.5</v>
      </c>
      <c r="H15" s="329" t="inlineStr">
        <is>
          <t>2p-3:30p wfh CC</t>
        </is>
      </c>
      <c r="I15" s="314" t="n">
        <v>1.5</v>
      </c>
      <c r="J15" s="331" t="n"/>
      <c r="K15" s="314" t="n"/>
      <c r="L15" s="297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28" t="inlineStr">
        <is>
          <t>Taran C</t>
        </is>
      </c>
      <c r="B16" s="69" t="n"/>
      <c r="C16" s="314" t="n"/>
      <c r="D16" s="153" t="inlineStr">
        <is>
          <t>8a-4p F2</t>
        </is>
      </c>
      <c r="E16" s="314" t="n">
        <v>7.5</v>
      </c>
      <c r="F16" s="153" t="n"/>
      <c r="G16" s="314" t="n"/>
      <c r="H16" s="153" t="inlineStr">
        <is>
          <t>8a-5:30p F2</t>
        </is>
      </c>
      <c r="I16" s="314" t="n">
        <v>9</v>
      </c>
      <c r="J16" s="69" t="n"/>
      <c r="K16" s="314" t="n"/>
      <c r="L16" s="297" t="inlineStr">
        <is>
          <t>7:30a-2p GR</t>
        </is>
      </c>
      <c r="M16" s="48" t="n">
        <v>6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3" customHeight="1">
      <c r="A17" s="128" t="inlineStr">
        <is>
          <t>Sagar C</t>
        </is>
      </c>
      <c r="B17" s="314" t="n"/>
      <c r="C17" s="314" t="n"/>
      <c r="D17" s="155" t="n"/>
      <c r="E17" s="314" t="n"/>
      <c r="F17" s="314" t="inlineStr">
        <is>
          <t>8a-12:30pm EVENT set-up</t>
        </is>
      </c>
      <c r="G17" s="314" t="n">
        <v>4.5</v>
      </c>
      <c r="H17" s="45" t="inlineStr">
        <is>
          <t>8a-6p</t>
        </is>
      </c>
      <c r="I17" s="314" t="n">
        <v>9.5</v>
      </c>
      <c r="J17" s="314" t="inlineStr">
        <is>
          <t>2:30p-7:30p F2 CL</t>
        </is>
      </c>
      <c r="K17" s="48" t="n">
        <v>5</v>
      </c>
      <c r="L17" s="301" t="inlineStr">
        <is>
          <t>1p-1:30p F2/ 1:30p-6 GR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9" customHeight="1">
      <c r="A18" s="128" t="inlineStr">
        <is>
          <t>Itohan</t>
        </is>
      </c>
      <c r="B18" s="365" t="inlineStr">
        <is>
          <t>3:30p-7p F6 CC</t>
        </is>
      </c>
      <c r="C18" s="18" t="n">
        <v>3.5</v>
      </c>
      <c r="D18" s="45" t="inlineStr">
        <is>
          <t>8a-12:30p f6 CC</t>
        </is>
      </c>
      <c r="E18" s="314" t="n">
        <v>4.5</v>
      </c>
      <c r="F18" s="329" t="inlineStr">
        <is>
          <t>3-7:30p f2/closing</t>
        </is>
      </c>
      <c r="G18" s="314" t="n">
        <v>4.5</v>
      </c>
      <c r="H18" s="366" t="inlineStr">
        <is>
          <t>3:30p-7:30p F2 CL</t>
        </is>
      </c>
      <c r="I18" s="314" t="n">
        <v>4</v>
      </c>
      <c r="J18" s="60" t="inlineStr">
        <is>
          <t>11a-7p F6 CC</t>
        </is>
      </c>
      <c r="K18" s="314" t="n">
        <v>7.5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8" customHeight="1">
      <c r="A19" s="316" t="inlineStr">
        <is>
          <t>Arnob</t>
        </is>
      </c>
      <c r="B19" s="314" t="inlineStr">
        <is>
          <t>1-2p w Aashima/ 2-7:30 TR f2</t>
        </is>
      </c>
      <c r="C19" s="314" t="n">
        <v>6</v>
      </c>
      <c r="D19" s="329" t="n"/>
      <c r="E19" s="314" t="n"/>
      <c r="F19" s="301" t="inlineStr">
        <is>
          <t>3p-7:30p closing w Itohan/ f2</t>
        </is>
      </c>
      <c r="G19" s="314" t="n">
        <v>4.5</v>
      </c>
      <c r="H19" s="301" t="inlineStr">
        <is>
          <t>3p-7:30p closing w Itohan/ f2</t>
        </is>
      </c>
      <c r="I19" s="314" t="n">
        <v>4.5</v>
      </c>
      <c r="J19" s="326" t="n"/>
      <c r="K19" s="314" t="n"/>
      <c r="L19" s="321" t="inlineStr">
        <is>
          <t>7:30a-9:30 TR opening w Arfa / 9:30a-2:30p f6 TR CC</t>
        </is>
      </c>
      <c r="M19" s="18" t="n">
        <v>6.5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9" customHeight="1">
      <c r="A20" s="45" t="inlineStr">
        <is>
          <t>Intern- Levi 5</t>
        </is>
      </c>
      <c r="B20" s="82" t="n"/>
      <c r="C20" s="18" t="n"/>
      <c r="D20" s="334" t="inlineStr">
        <is>
          <t>1p-6p GR CC W Micka</t>
        </is>
      </c>
      <c r="E20" s="18" t="n">
        <v>5</v>
      </c>
      <c r="F20" s="82" t="inlineStr">
        <is>
          <t>8a-3p F6 CC W Ana</t>
        </is>
      </c>
      <c r="G20" s="18" t="n">
        <v>6.5</v>
      </c>
      <c r="H20" s="356" t="n"/>
      <c r="I20" s="18" t="n"/>
      <c r="J20" s="82" t="inlineStr">
        <is>
          <t>8a-11:30a F6 CC W Ana</t>
        </is>
      </c>
      <c r="K20" s="18" t="n">
        <v>3.5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48" customHeight="1">
      <c r="A21" s="45" t="inlineStr">
        <is>
          <t>Intern - Himanshu 5</t>
        </is>
      </c>
      <c r="B21" s="321" t="inlineStr">
        <is>
          <t xml:space="preserve">10a-12:30p F6 CC/ B@12:30p / 1p-6:30p CC GR w Micka </t>
        </is>
      </c>
      <c r="C21" s="18" t="n">
        <v>8</v>
      </c>
      <c r="D21" s="141" t="n"/>
      <c r="E21" s="18" t="n"/>
      <c r="F21" s="334" t="n"/>
      <c r="G21" s="18" t="n"/>
      <c r="H21" s="369" t="inlineStr">
        <is>
          <t>9a-3:30p/ 6:30-7:30p set-up</t>
        </is>
      </c>
      <c r="I21" s="18" t="n">
        <v>7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367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L10" sqref="L10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21.66406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46160</v>
      </c>
      <c r="C2" s="6" t="n"/>
      <c r="D2" s="5" t="n">
        <v>46161</v>
      </c>
      <c r="E2" s="6" t="n"/>
      <c r="F2" s="5" t="n">
        <v>46162</v>
      </c>
      <c r="G2" s="6" t="n"/>
      <c r="H2" s="5" t="n">
        <v>46163</v>
      </c>
      <c r="I2" s="6" t="n"/>
      <c r="J2" s="5" t="n">
        <v>46164</v>
      </c>
      <c r="K2" s="6" t="n"/>
      <c r="L2" s="5" t="n">
        <v>46165</v>
      </c>
      <c r="M2" s="6" t="n"/>
      <c r="N2" s="5" t="n">
        <v>46166</v>
      </c>
      <c r="O2" s="7" t="n"/>
      <c r="P2" s="3" t="n"/>
    </row>
    <row r="3" ht="107.25" customHeight="1">
      <c r="A3" s="8" t="inlineStr">
        <is>
          <t>EVENTS</t>
        </is>
      </c>
      <c r="B3" s="62" t="n"/>
      <c r="C3" s="10" t="n"/>
      <c r="D3" s="62" t="inlineStr">
        <is>
          <t xml:space="preserve">MR 2A- 10AM: Chris+Apply Board 10ppl Coffee Brkfast </t>
        </is>
      </c>
      <c r="E3" s="10" t="n"/>
      <c r="F3" s="62" t="inlineStr">
        <is>
          <t>HUB Ground - 11:30a-1p : CPA- Career Services //       COMPLETION LETTERS + TRANSCRIPTS</t>
        </is>
      </c>
      <c r="G3" s="11" t="n"/>
      <c r="H3" s="62" t="n"/>
      <c r="I3" s="10" t="n"/>
      <c r="J3" s="62" t="n"/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STAT</t>
        </is>
      </c>
      <c r="C4" s="18" t="n">
        <v>8</v>
      </c>
      <c r="D4" s="18" t="inlineStr">
        <is>
          <t>9a-8:30p</t>
        </is>
      </c>
      <c r="E4" s="18" t="n">
        <v>11.5</v>
      </c>
      <c r="F4" s="18" t="inlineStr">
        <is>
          <t>9:30p-5:30</t>
        </is>
      </c>
      <c r="G4" s="18" t="n">
        <v>8</v>
      </c>
      <c r="H4" s="18" t="inlineStr">
        <is>
          <t>9a-9pm</t>
        </is>
      </c>
      <c r="I4" s="18" t="n">
        <v>12</v>
      </c>
      <c r="J4" s="18" t="inlineStr">
        <is>
          <t>12-7p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STAT</t>
        </is>
      </c>
      <c r="C5" s="18" t="n">
        <v>8</v>
      </c>
      <c r="D5" s="18" t="inlineStr">
        <is>
          <t>9a-5:30</t>
        </is>
      </c>
      <c r="E5" s="18" t="n">
        <v>8.5</v>
      </c>
      <c r="F5" s="18" t="inlineStr">
        <is>
          <t>9a-5:30</t>
        </is>
      </c>
      <c r="G5" s="18" t="n">
        <v>8.5</v>
      </c>
      <c r="H5" s="18" t="inlineStr">
        <is>
          <t>9a-5p</t>
        </is>
      </c>
      <c r="I5" s="18" t="n">
        <v>8</v>
      </c>
      <c r="J5" s="18" t="inlineStr">
        <is>
          <t>9a-4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32" customHeight="1">
      <c r="A6" s="350" t="inlineStr">
        <is>
          <t xml:space="preserve">NAHIM </t>
        </is>
      </c>
      <c r="B6" s="45" t="inlineStr">
        <is>
          <t>STAT</t>
        </is>
      </c>
      <c r="C6" s="48" t="n"/>
      <c r="D6" s="45" t="inlineStr">
        <is>
          <t>8a-10:30a event/ 10:30-5 w fran/f2</t>
        </is>
      </c>
      <c r="E6" s="48" t="n">
        <v>8.5</v>
      </c>
      <c r="F6" s="45" t="inlineStr">
        <is>
          <t>8a-5p f2/ Aashima</t>
        </is>
      </c>
      <c r="G6" s="48" t="n">
        <v>8.5</v>
      </c>
      <c r="H6" s="45" t="inlineStr">
        <is>
          <t>80 Bloor @ 10a-12p/ 12-6 f2</t>
        </is>
      </c>
      <c r="I6" s="48" t="n">
        <v>7.5</v>
      </c>
      <c r="J6" s="45" t="inlineStr">
        <is>
          <t>8a-2p f2</t>
        </is>
      </c>
      <c r="K6" s="48" t="n">
        <v>5.5</v>
      </c>
      <c r="L6" s="301" t="n"/>
      <c r="M6" s="48" t="n"/>
      <c r="N6" s="18" t="n"/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01" t="inlineStr">
        <is>
          <t>STAT</t>
        </is>
      </c>
      <c r="C7" s="314" t="n"/>
      <c r="D7" s="153" t="inlineStr">
        <is>
          <t>8a-3 f2</t>
        </is>
      </c>
      <c r="E7" s="314" t="n">
        <v>6.5</v>
      </c>
      <c r="F7" s="325" t="n"/>
      <c r="G7" s="314" t="n"/>
      <c r="H7" s="334" t="inlineStr">
        <is>
          <t>12-3:30  f2</t>
        </is>
      </c>
      <c r="I7" s="314" t="n">
        <v>3.5</v>
      </c>
      <c r="J7" s="328" t="inlineStr">
        <is>
          <t xml:space="preserve">8a-3:30 f2 </t>
        </is>
      </c>
      <c r="K7" s="314" t="n">
        <v>7</v>
      </c>
      <c r="L7" s="301" t="inlineStr">
        <is>
          <t>12-12:30p GR/12:30-1 f2/ 1-1:30 f6/ 1:30-2:30 set-up/ 3-7:30 f2/CL  B@2:30</t>
        </is>
      </c>
      <c r="M7" s="48" t="n">
        <v>7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63" t="inlineStr">
        <is>
          <t>Kavya C</t>
        </is>
      </c>
      <c r="B8" s="56" t="inlineStr">
        <is>
          <t>OFF</t>
        </is>
      </c>
      <c r="C8" s="314" t="n"/>
      <c r="D8" s="48" t="inlineStr">
        <is>
          <t>7:45a-6:15p f6CC B@11:30</t>
        </is>
      </c>
      <c r="E8" s="314" t="n">
        <v>10</v>
      </c>
      <c r="F8" s="327" t="inlineStr">
        <is>
          <t>7:45a-3:15 f6CC</t>
        </is>
      </c>
      <c r="G8" s="314" t="n">
        <v>7</v>
      </c>
      <c r="H8" s="327" t="inlineStr">
        <is>
          <t>7:45a-3:15 f6CC B@1</t>
        </is>
      </c>
      <c r="I8" s="314" t="n">
        <v>7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45" t="inlineStr">
        <is>
          <t>Mickaela  C</t>
        </is>
      </c>
      <c r="B9" s="329" t="inlineStr">
        <is>
          <t>OFF</t>
        </is>
      </c>
      <c r="C9" s="314" t="n"/>
      <c r="D9" s="45" t="inlineStr">
        <is>
          <t>7:30a-12:30p GR+elev</t>
        </is>
      </c>
      <c r="E9" s="314" t="n">
        <v>5</v>
      </c>
      <c r="F9" s="352" t="inlineStr">
        <is>
          <t>7:30a-12:15 GR elev/ B@12:15/ 12:45-5p f2</t>
        </is>
      </c>
      <c r="G9" s="314" t="n">
        <v>9</v>
      </c>
      <c r="H9" s="45" t="inlineStr">
        <is>
          <t>1p-3:30p f2/ 3:30-6GR</t>
        </is>
      </c>
      <c r="I9" s="314" t="n">
        <v>5</v>
      </c>
      <c r="J9" s="135" t="inlineStr">
        <is>
          <t>12:30-6p GR B@3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4" customHeight="1">
      <c r="A10" s="163" t="inlineStr">
        <is>
          <t xml:space="preserve">Viviana </t>
        </is>
      </c>
      <c r="B10" s="330" t="inlineStr">
        <is>
          <t>OFF</t>
        </is>
      </c>
      <c r="C10" s="314" t="n"/>
      <c r="D10" s="353" t="inlineStr">
        <is>
          <t>3:30-4 GR/ 4p-7:30p f2/ closing</t>
        </is>
      </c>
      <c r="E10" s="314" t="n">
        <v>4</v>
      </c>
      <c r="F10" s="325" t="inlineStr">
        <is>
          <t>1p-7:30p f2/closing</t>
        </is>
      </c>
      <c r="G10" s="314" t="n">
        <v>6</v>
      </c>
      <c r="H10" s="38" t="n"/>
      <c r="I10" s="314" t="n"/>
      <c r="J10" s="353" t="inlineStr">
        <is>
          <t>3:30-4 GR/ 4p-7:30p f2/ closing</t>
        </is>
      </c>
      <c r="K10" s="314" t="n">
        <v>3.5</v>
      </c>
      <c r="L10" s="325" t="inlineStr">
        <is>
          <t>7:30a-9:30a Ground/ 9:30-6 GR CC B@12</t>
        </is>
      </c>
      <c r="M10" s="314" t="n">
        <v>10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60" t="inlineStr">
        <is>
          <t xml:space="preserve">Anastasia </t>
        </is>
      </c>
      <c r="B11" s="329" t="inlineStr">
        <is>
          <t>OFF</t>
        </is>
      </c>
      <c r="C11" s="314" t="n"/>
      <c r="D11" s="133" t="inlineStr">
        <is>
          <t>8a-12p f2 CC</t>
        </is>
      </c>
      <c r="E11" s="314" t="n">
        <v>4</v>
      </c>
      <c r="F11" s="329" t="inlineStr">
        <is>
          <t>1:30p-7p f6 CC B@2:30</t>
        </is>
      </c>
      <c r="G11" s="314" t="n">
        <v>5</v>
      </c>
      <c r="H11" s="329" t="inlineStr">
        <is>
          <t>11a-4 GROUND CC B@3:30/ 4-7p f6CC</t>
        </is>
      </c>
      <c r="I11" s="314" t="n">
        <v>7.5</v>
      </c>
      <c r="J11" s="347" t="inlineStr">
        <is>
          <t>8a-3p f6 CC B@12</t>
        </is>
      </c>
      <c r="K11" s="314" t="n">
        <v>6.5</v>
      </c>
      <c r="L11" s="329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01" t="inlineStr">
        <is>
          <t>9a-1p f2</t>
        </is>
      </c>
      <c r="G12" s="314" t="n">
        <v>4</v>
      </c>
      <c r="H12" s="129" t="inlineStr">
        <is>
          <t>7:30a-11 GR/ 11-12 f2</t>
        </is>
      </c>
      <c r="I12" s="314" t="n">
        <v>4.5</v>
      </c>
      <c r="J12" s="297" t="inlineStr">
        <is>
          <t>7:30a-12:30p GR/ B@12:30/ 1-3 f2</t>
        </is>
      </c>
      <c r="K12" s="314" t="n">
        <v>7</v>
      </c>
      <c r="L12" s="56" t="inlineStr">
        <is>
          <t>8a-4p f6 CC</t>
        </is>
      </c>
      <c r="M12" s="314" t="n">
        <v>8.5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60" t="inlineStr">
        <is>
          <t>Achal</t>
        </is>
      </c>
      <c r="B13" s="60" t="inlineStr">
        <is>
          <t>OFF</t>
        </is>
      </c>
      <c r="C13" s="48" t="n"/>
      <c r="D13" s="60" t="inlineStr">
        <is>
          <t>10a-6p GR CC/ 6-7 f6 CC/ 7-7:30 TR closing w Vivi B@3:30</t>
        </is>
      </c>
      <c r="E13" s="48" t="n">
        <v>9</v>
      </c>
      <c r="F13" s="60" t="inlineStr">
        <is>
          <t xml:space="preserve">12-6p GR CC/ 6-7 f2 CC/ 7-7:30 TR closing w Vivi </t>
        </is>
      </c>
      <c r="G13" s="48" t="n">
        <v>7</v>
      </c>
      <c r="H13" s="38" t="n"/>
      <c r="I13" s="314" t="n"/>
      <c r="J13" s="329" t="n"/>
      <c r="K13" s="48" t="n"/>
      <c r="L13" s="329" t="inlineStr">
        <is>
          <t>11a-7p f6 CC/ 7-7:30 TR closing w Pablo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101" t="inlineStr">
        <is>
          <t>PRIYANKA</t>
        </is>
      </c>
      <c r="B14" s="324" t="inlineStr">
        <is>
          <t>OFF</t>
        </is>
      </c>
      <c r="C14" s="314" t="n"/>
      <c r="D14" s="273" t="n"/>
      <c r="E14" s="314" t="n"/>
      <c r="F14" s="324" t="inlineStr">
        <is>
          <t>8a-4p f6CC</t>
        </is>
      </c>
      <c r="G14" s="314" t="n">
        <v>7.5</v>
      </c>
      <c r="H14" s="324" t="inlineStr">
        <is>
          <t>8a-4p f6CC B@1:30</t>
        </is>
      </c>
      <c r="I14" s="314" t="n">
        <v>7.5</v>
      </c>
      <c r="J14" s="331" t="inlineStr">
        <is>
          <t>7:45a-3:45p f6CC</t>
        </is>
      </c>
      <c r="K14" s="314" t="n">
        <v>7.5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01" t="inlineStr">
        <is>
          <t>Arfa C</t>
        </is>
      </c>
      <c r="B15" s="349" t="inlineStr">
        <is>
          <t>OFF</t>
        </is>
      </c>
      <c r="C15" s="314" t="n"/>
      <c r="D15" s="329" t="inlineStr">
        <is>
          <t>f6 CC 11a-6p B@4</t>
        </is>
      </c>
      <c r="E15" s="314" t="n">
        <v>6.5</v>
      </c>
      <c r="F15" s="301" t="n"/>
      <c r="G15" s="314" t="n"/>
      <c r="H15" s="301" t="inlineStr">
        <is>
          <t>10a-2:30p f2</t>
        </is>
      </c>
      <c r="I15" s="314" t="n">
        <v>4.5</v>
      </c>
      <c r="J15" s="329" t="inlineStr">
        <is>
          <t>f6 CC 12-7p f6CC B@2:30</t>
        </is>
      </c>
      <c r="K15" s="314" t="n">
        <v>6.5</v>
      </c>
      <c r="L15" s="324" t="inlineStr">
        <is>
          <t>8a-3p f2 Train Desk B@1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28" t="inlineStr">
        <is>
          <t>Taran C</t>
        </is>
      </c>
      <c r="B16" s="69" t="n"/>
      <c r="C16" s="314" t="n"/>
      <c r="D16" s="153" t="n"/>
      <c r="E16" s="314" t="n"/>
      <c r="F16" s="153" t="inlineStr">
        <is>
          <t>8a-4:30p f2</t>
        </is>
      </c>
      <c r="G16" s="314" t="n">
        <v>8</v>
      </c>
      <c r="H16" s="153" t="inlineStr">
        <is>
          <t>8a-6p f2</t>
        </is>
      </c>
      <c r="I16" s="314" t="n">
        <v>9.5</v>
      </c>
      <c r="J16" s="69" t="n"/>
      <c r="K16" s="314" t="n"/>
      <c r="L16" s="153" t="inlineStr">
        <is>
          <t>8a-3p f2 B@12:30</t>
        </is>
      </c>
      <c r="M16" s="314" t="n">
        <v>6.5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Sagar C</t>
        </is>
      </c>
      <c r="B17" s="314" t="inlineStr">
        <is>
          <t>OFF</t>
        </is>
      </c>
      <c r="C17" s="314" t="n"/>
      <c r="D17" s="314" t="n"/>
      <c r="E17" s="314" t="n"/>
      <c r="F17" s="314" t="n"/>
      <c r="G17" s="314" t="n"/>
      <c r="H17" s="314" t="n"/>
      <c r="I17" s="314" t="n"/>
      <c r="J17" s="314" t="n"/>
      <c r="K17" s="48" t="n"/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9" customHeight="1">
      <c r="A18" s="128" t="inlineStr">
        <is>
          <t>Itohan</t>
        </is>
      </c>
      <c r="B18" s="303" t="inlineStr">
        <is>
          <t>OFF</t>
        </is>
      </c>
      <c r="C18" s="18" t="n"/>
      <c r="D18" s="60" t="inlineStr">
        <is>
          <t>8a-11a TR CC w Kavia f6/ B@11 / 11:30a-5p f2 / refresher w Pablo</t>
        </is>
      </c>
      <c r="E18" s="18" t="n">
        <v>8.5</v>
      </c>
      <c r="F18" s="85" t="inlineStr">
        <is>
          <t>9:30a-12:30 event/ B@12:30/ 1- 6p f2</t>
        </is>
      </c>
      <c r="G18" s="18" t="n">
        <v>8</v>
      </c>
      <c r="H18" s="355" t="inlineStr">
        <is>
          <t>3-3:30 GR/ 3:30p-7:30p f2/ closing</t>
        </is>
      </c>
      <c r="I18" s="18" t="n">
        <v>3.5</v>
      </c>
      <c r="J18" s="45" t="inlineStr">
        <is>
          <t>2:30p-6:30 f2</t>
        </is>
      </c>
      <c r="K18" s="48" t="n">
        <v>4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9" customHeight="1">
      <c r="A19" s="316" t="inlineStr">
        <is>
          <t>Arnob</t>
        </is>
      </c>
      <c r="B19" s="314" t="inlineStr">
        <is>
          <t>OFF</t>
        </is>
      </c>
      <c r="C19" s="314" t="n"/>
      <c r="D19" s="329" t="n"/>
      <c r="E19" s="314" t="n"/>
      <c r="F19" s="301" t="n"/>
      <c r="G19" s="314" t="n"/>
      <c r="H19" s="301" t="n"/>
      <c r="I19" s="314" t="n"/>
      <c r="J19" s="326" t="n"/>
      <c r="K19" s="314" t="n"/>
      <c r="L19" s="301" t="n"/>
      <c r="M19" s="314" t="n"/>
      <c r="N19" s="18" t="n"/>
      <c r="O19" s="18" t="n"/>
      <c r="P19" s="3" t="n"/>
      <c r="R19" s="299" t="n"/>
      <c r="S19" s="299" t="n"/>
      <c r="T19" s="299" t="n"/>
      <c r="U19" s="299" t="n"/>
      <c r="V19" s="300" t="n"/>
    </row>
    <row r="20" ht="19" customHeight="1">
      <c r="A20" s="45" t="inlineStr">
        <is>
          <t>Intern- Levi 4</t>
        </is>
      </c>
      <c r="B20" s="82" t="inlineStr">
        <is>
          <t>OFF</t>
        </is>
      </c>
      <c r="C20" s="18" t="n"/>
      <c r="D20" s="334" t="inlineStr">
        <is>
          <t>12p-5p f2</t>
        </is>
      </c>
      <c r="E20" s="18" t="n">
        <v>5</v>
      </c>
      <c r="F20" s="82" t="n"/>
      <c r="G20" s="18" t="n"/>
      <c r="H20" s="356" t="inlineStr">
        <is>
          <t>8a-1p f2 desk</t>
        </is>
      </c>
      <c r="I20" s="18" t="n">
        <v>5</v>
      </c>
      <c r="J20" s="358" t="inlineStr">
        <is>
          <t>12:30p-7:30p f2/ closing</t>
        </is>
      </c>
      <c r="K20" s="48" t="n"/>
      <c r="L20" s="321" t="inlineStr">
        <is>
          <t>7:30a-12:30 GR w Vivi</t>
        </is>
      </c>
      <c r="M20" s="18" t="n">
        <v>5</v>
      </c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9.5" customHeight="1">
      <c r="A21" s="45" t="inlineStr">
        <is>
          <t>Intern - Himanshu 4</t>
        </is>
      </c>
      <c r="B21" s="321" t="inlineStr">
        <is>
          <t>OFF</t>
        </is>
      </c>
      <c r="C21" s="18" t="n"/>
      <c r="D21" s="82" t="n"/>
      <c r="E21" s="18" t="n"/>
      <c r="F21" s="50" t="inlineStr">
        <is>
          <t>9a-6p f2</t>
        </is>
      </c>
      <c r="G21" s="18" t="n">
        <v>8.5</v>
      </c>
      <c r="H21" s="357" t="n"/>
      <c r="I21" s="18" t="n"/>
      <c r="K21" s="314" t="n">
        <v>6.5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6" customHeight="1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topLeftCell="A3" zoomScale="70" zoomScaleNormal="70" workbookViewId="0">
      <selection activeCell="K4" sqref="K4"/>
    </sheetView>
  </sheetViews>
  <sheetFormatPr baseColWidth="10" defaultColWidth="8.83203125" defaultRowHeight="15"/>
  <cols>
    <col width="26.5" customWidth="1" min="1" max="1"/>
    <col width="17.5" customWidth="1" min="2" max="2"/>
    <col width="6.664062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46153</v>
      </c>
      <c r="C2" s="6" t="n"/>
      <c r="D2" s="5" t="n">
        <v>46154</v>
      </c>
      <c r="E2" s="6" t="n"/>
      <c r="F2" s="5" t="n">
        <v>46155</v>
      </c>
      <c r="G2" s="6" t="n"/>
      <c r="H2" s="5" t="n">
        <v>46156</v>
      </c>
      <c r="I2" s="6" t="n"/>
      <c r="J2" s="5" t="n">
        <v>46157</v>
      </c>
      <c r="K2" s="6" t="n"/>
      <c r="L2" s="5" t="n">
        <v>46158</v>
      </c>
      <c r="M2" s="6" t="n"/>
      <c r="N2" s="5" t="n">
        <v>46159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Graduate photos 608  / set-up for MD next day</t>
        </is>
      </c>
      <c r="C3" s="10" t="n"/>
      <c r="D3" s="62" t="inlineStr">
        <is>
          <t xml:space="preserve">Graduate photos 608  / TRANSCRIPTS ?? / MOTHER'S DAY EVENT HUB </t>
        </is>
      </c>
      <c r="E3" s="10" t="n"/>
      <c r="F3" s="62" t="n"/>
      <c r="G3" s="11" t="n"/>
      <c r="H3" s="62" t="inlineStr">
        <is>
          <t>VIP EVENT CREDENTIALING - HUB 3:30p-5:30p</t>
        </is>
      </c>
      <c r="I3" s="10" t="n"/>
      <c r="J3" s="62" t="inlineStr">
        <is>
          <t xml:space="preserve">    AASHIMA CC TRAINING 9p-2pm </t>
        </is>
      </c>
      <c r="K3" s="10" t="n"/>
      <c r="L3" s="62" t="n"/>
      <c r="M3" s="13" t="n"/>
      <c r="N3" s="62" t="n"/>
      <c r="O3" s="15" t="n"/>
      <c r="P3" s="3" t="n"/>
    </row>
    <row r="4" ht="32" customHeight="1">
      <c r="A4" s="82" t="inlineStr">
        <is>
          <t>Fran</t>
        </is>
      </c>
      <c r="B4" s="18" t="inlineStr">
        <is>
          <t>9a-12 offsite/ 12-9:30p</t>
        </is>
      </c>
      <c r="C4" s="18" t="n">
        <v>12.5</v>
      </c>
      <c r="D4" s="18" t="inlineStr">
        <is>
          <t>9a-5:30</t>
        </is>
      </c>
      <c r="E4" s="18" t="n">
        <v>8.5</v>
      </c>
      <c r="F4" s="18" t="inlineStr">
        <is>
          <t>8:30a-6p</t>
        </is>
      </c>
      <c r="G4" s="18" t="n">
        <v>9.5</v>
      </c>
      <c r="H4" s="18" t="inlineStr">
        <is>
          <t>10a-6:30 (offsite 11:45a-2p) / 8-11p admin</t>
        </is>
      </c>
      <c r="I4" s="18" t="n">
        <v>11</v>
      </c>
      <c r="J4" s="18" t="inlineStr">
        <is>
          <t>10a-7wfh lieu banked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9a-1:30p TR CC/ 1:30-5p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163" t="inlineStr">
        <is>
          <t>Pablo</t>
        </is>
      </c>
      <c r="B6" s="301" t="inlineStr">
        <is>
          <t>RO</t>
        </is>
      </c>
      <c r="C6" s="314" t="n"/>
      <c r="D6" s="301" t="inlineStr">
        <is>
          <t>RO</t>
        </is>
      </c>
      <c r="E6" s="314" t="n"/>
      <c r="F6" s="325" t="inlineStr">
        <is>
          <t>RO</t>
        </is>
      </c>
      <c r="G6" s="314" t="n"/>
      <c r="H6" s="334" t="inlineStr">
        <is>
          <t>12p-7:30p GR HUB</t>
        </is>
      </c>
      <c r="I6" s="314" t="n">
        <v>7.5</v>
      </c>
      <c r="J6" s="328" t="inlineStr">
        <is>
          <t>7:30a-8:30 GR/8a-9a ELEV/ 9a-10:30 f2 B@10:30 11-12:30 ELEV/ 12:30-1 GROUND</t>
        </is>
      </c>
      <c r="K6" s="314" t="n">
        <v>5</v>
      </c>
      <c r="L6" s="60" t="inlineStr">
        <is>
          <t>11a-7:30p f2 CC/ closing</t>
        </is>
      </c>
      <c r="M6" s="314" t="n">
        <v>8</v>
      </c>
      <c r="N6" s="18" t="inlineStr">
        <is>
          <t>OFF</t>
        </is>
      </c>
      <c r="O6" s="18" t="n"/>
      <c r="P6" s="3">
        <f>SUM(O6,M6,K6,I6,G6,E6,C6)</f>
        <v/>
      </c>
      <c r="U6" s="56" t="n"/>
      <c r="V6" s="314" t="n"/>
    </row>
    <row r="7" ht="30.5" customHeight="1">
      <c r="A7" s="163" t="inlineStr">
        <is>
          <t>Kavya C</t>
        </is>
      </c>
      <c r="B7" s="327" t="n"/>
      <c r="C7" s="314" t="n"/>
      <c r="D7" s="153" t="inlineStr">
        <is>
          <t>7:45a-4:15p f6 CC B@1</t>
        </is>
      </c>
      <c r="E7" s="314" t="n">
        <v>8</v>
      </c>
      <c r="F7" s="153" t="inlineStr">
        <is>
          <t>7:30a-3:30p f6 CC B@1</t>
        </is>
      </c>
      <c r="G7" s="314" t="n">
        <v>7.5</v>
      </c>
      <c r="H7" s="56" t="inlineStr">
        <is>
          <t>10a-12 GROUND CC/ 12-7p f6 CC</t>
        </is>
      </c>
      <c r="I7" s="314" t="n">
        <v>8.5</v>
      </c>
      <c r="J7" s="56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28" t="inlineStr">
        <is>
          <t>Taran C</t>
        </is>
      </c>
      <c r="B8" s="69" t="n"/>
      <c r="C8" s="314" t="n"/>
      <c r="D8" s="153" t="n"/>
      <c r="E8" s="314" t="n"/>
      <c r="F8" s="153" t="inlineStr">
        <is>
          <t xml:space="preserve">8a-3p f2 </t>
        </is>
      </c>
      <c r="G8" s="314" t="n">
        <v>6.5</v>
      </c>
      <c r="H8" s="153" t="inlineStr">
        <is>
          <t>8a-6p f2  B@2:30p</t>
        </is>
      </c>
      <c r="I8" s="314" t="n">
        <v>9.5</v>
      </c>
      <c r="J8" s="69" t="n"/>
      <c r="K8" s="314" t="n"/>
      <c r="L8" s="153" t="inlineStr">
        <is>
          <t>8a-3p f2 B@12:30</t>
        </is>
      </c>
      <c r="M8" s="314" t="n">
        <v>6.5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28" t="inlineStr">
        <is>
          <t>Sagar C</t>
        </is>
      </c>
      <c r="B9" s="314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48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329" t="inlineStr">
        <is>
          <t>8a-3:30p f6 CC B@11a</t>
        </is>
      </c>
      <c r="C10" s="314" t="n">
        <v>7</v>
      </c>
      <c r="D10" s="314" t="inlineStr">
        <is>
          <t>7:45a-10:45a GROUND</t>
        </is>
      </c>
      <c r="E10" s="314" t="n">
        <v>3</v>
      </c>
      <c r="F10" s="329" t="n"/>
      <c r="G10" s="314" t="n"/>
      <c r="H10" s="352" t="inlineStr">
        <is>
          <t>8a-4p f6 CC</t>
        </is>
      </c>
      <c r="I10" s="314" t="n">
        <v>7.5</v>
      </c>
      <c r="J10" s="157" t="inlineStr">
        <is>
          <t>12p-12:30 f2 / 12:30-7p CC f6</t>
        </is>
      </c>
      <c r="K10" s="314" t="n">
        <v>6.5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6.5" customHeight="1">
      <c r="A11" s="163" t="inlineStr">
        <is>
          <t xml:space="preserve">Viviana </t>
        </is>
      </c>
      <c r="B11" s="330" t="inlineStr">
        <is>
          <t>3:30p-7:30p f2/ closer</t>
        </is>
      </c>
      <c r="C11" s="314" t="n">
        <v>4</v>
      </c>
      <c r="D11" s="353" t="inlineStr">
        <is>
          <t>2:30-7:30 f2/closer</t>
        </is>
      </c>
      <c r="E11" s="314" t="n">
        <v>5</v>
      </c>
      <c r="F11" s="330" t="inlineStr">
        <is>
          <t>3-7:30p f2/ closer</t>
        </is>
      </c>
      <c r="G11" s="314" t="n">
        <v>4.5</v>
      </c>
      <c r="H11" s="330" t="inlineStr">
        <is>
          <t>2:30p-3 f2/ 3-6 event/ 6-7:30p f2/ closer</t>
        </is>
      </c>
      <c r="I11" s="314" t="n">
        <v>5</v>
      </c>
      <c r="J11" s="330" t="n"/>
      <c r="K11" s="314" t="n"/>
      <c r="L11" s="329" t="inlineStr">
        <is>
          <t>8a-2p f6CC B@12</t>
        </is>
      </c>
      <c r="M11" s="314" t="n">
        <v>5.5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60" t="inlineStr">
        <is>
          <t xml:space="preserve">Anastasia </t>
        </is>
      </c>
      <c r="B12" s="329" t="n"/>
      <c r="C12" s="314" t="n"/>
      <c r="D12" s="155" t="inlineStr">
        <is>
          <t>8a-11a f2</t>
        </is>
      </c>
      <c r="E12" s="314" t="n">
        <v>3</v>
      </c>
      <c r="F12" s="329" t="inlineStr">
        <is>
          <t>11a-7p f6CC B@3</t>
        </is>
      </c>
      <c r="G12" s="314" t="n">
        <v>7.5</v>
      </c>
      <c r="H12" s="329" t="n"/>
      <c r="I12" s="314" t="n"/>
      <c r="J12" s="347" t="inlineStr">
        <is>
          <t>8a-3p f6CC B@1p</t>
        </is>
      </c>
      <c r="K12" s="314" t="n">
        <v>6.5</v>
      </c>
      <c r="L12" s="329" t="inlineStr">
        <is>
          <t>11:30a-7p f6CC B@1:30</t>
        </is>
      </c>
      <c r="M12" s="314" t="n">
        <v>7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163" t="inlineStr">
        <is>
          <t>MEG</t>
        </is>
      </c>
      <c r="B13" s="90" t="inlineStr">
        <is>
          <t>7:45a-11a f2 CC</t>
        </is>
      </c>
      <c r="C13" s="314" t="n">
        <v>3.25</v>
      </c>
      <c r="D13" s="273" t="n"/>
      <c r="E13" s="314" t="n"/>
      <c r="F13" s="329" t="inlineStr">
        <is>
          <t>7:45a-8:45 GR &amp; ELEV/ 9a-6p GROUND CC B@2:30</t>
        </is>
      </c>
      <c r="G13" s="314" t="n">
        <v>9.75</v>
      </c>
      <c r="H13" s="19" t="inlineStr">
        <is>
          <t xml:space="preserve">7:30a-11a GROUND </t>
        </is>
      </c>
      <c r="I13" s="314" t="n">
        <v>3.5</v>
      </c>
      <c r="J13" s="347" t="inlineStr">
        <is>
          <t>8a-4p f2 CC B@12</t>
        </is>
      </c>
      <c r="K13" s="314" t="n">
        <v>7.5</v>
      </c>
      <c r="L13" s="56" t="n"/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Achal</t>
        </is>
      </c>
      <c r="B14" s="60" t="inlineStr">
        <is>
          <t>11a-7p f6 CC B@3</t>
        </is>
      </c>
      <c r="C14" s="48" t="n">
        <v>7.5</v>
      </c>
      <c r="D14" s="60" t="inlineStr">
        <is>
          <t>11a-2:30p f2 CC/ 2:30-7p f6 CC B@3:30p</t>
        </is>
      </c>
      <c r="E14" s="48" t="n">
        <v>7.5</v>
      </c>
      <c r="F14" s="329" t="n"/>
      <c r="G14" s="314" t="n"/>
      <c r="H14" s="38" t="n"/>
      <c r="I14" s="314" t="n"/>
      <c r="J14" s="329" t="inlineStr">
        <is>
          <t>8:30a-6p GROUND CC B@12:30</t>
        </is>
      </c>
      <c r="K14" s="48" t="n">
        <v>9</v>
      </c>
      <c r="L14" s="329" t="n"/>
      <c r="M14" s="314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8" customHeight="1">
      <c r="A15" s="101" t="inlineStr">
        <is>
          <t>PRIYANKA</t>
        </is>
      </c>
      <c r="B15" s="324" t="inlineStr">
        <is>
          <t>8a-11a f2 CC TR w Meg/ 11a-4p f2 TR w Aashima</t>
        </is>
      </c>
      <c r="C15" s="314" t="n">
        <v>7.5</v>
      </c>
      <c r="D15" s="273" t="n"/>
      <c r="E15" s="314" t="n"/>
      <c r="F15" s="324" t="n"/>
      <c r="G15" s="314" t="n"/>
      <c r="H15" s="324" t="inlineStr">
        <is>
          <t>TR w Mickaela 8a-4p f6CC</t>
        </is>
      </c>
      <c r="I15" s="314" t="n">
        <v>7.5</v>
      </c>
      <c r="J15" s="324" t="inlineStr">
        <is>
          <t>8a-9a f6CC/ 9a-2p TR CC w Aashima/ B@2/ 2:30-4 f2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</t>
        </is>
      </c>
      <c r="B16" s="349" t="n"/>
      <c r="C16" s="314" t="n"/>
      <c r="D16" s="349" t="inlineStr">
        <is>
          <t>TR w Kavya 8a-4p f6CC B@1:30</t>
        </is>
      </c>
      <c r="E16" s="314" t="n">
        <v>7.5</v>
      </c>
      <c r="F16" s="349" t="inlineStr">
        <is>
          <t>TR w Kavya 8a-4p f6CC B@1:30</t>
        </is>
      </c>
      <c r="G16" s="314" t="n">
        <v>7.5</v>
      </c>
      <c r="H16" s="301" t="n"/>
      <c r="I16" s="314" t="n"/>
      <c r="J16" s="324" t="inlineStr">
        <is>
          <t>9a-2p TR CC w Aashima</t>
        </is>
      </c>
      <c r="K16" s="314" t="n">
        <v>5</v>
      </c>
      <c r="L16" s="354" t="inlineStr">
        <is>
          <t>7:30a-11:30a GROUND</t>
        </is>
      </c>
      <c r="M16" s="48" t="n">
        <v>4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10:30a-6p GROUND</t>
        </is>
      </c>
      <c r="E17" s="18" t="n">
        <v>7</v>
      </c>
      <c r="F17" s="85" t="n"/>
      <c r="G17" s="18" t="n"/>
      <c r="H17" s="355" t="inlineStr">
        <is>
          <t>3p-8p EVENT + Closing</t>
        </is>
      </c>
      <c r="I17" s="18" t="n">
        <v>5</v>
      </c>
      <c r="J17" s="82" t="inlineStr">
        <is>
          <t xml:space="preserve">11a-7:30p f2/closing </t>
        </is>
      </c>
      <c r="K17" s="48" t="n">
        <v>7.5</v>
      </c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33" customHeight="1">
      <c r="A18" s="128" t="inlineStr">
        <is>
          <t>Daria  (temp) 24 hrs</t>
        </is>
      </c>
      <c r="B18" s="314" t="inlineStr">
        <is>
          <t>7:30a-6pm Ground</t>
        </is>
      </c>
      <c r="C18" s="314" t="n">
        <v>10</v>
      </c>
      <c r="D18" s="45" t="inlineStr">
        <is>
          <t>11a-5 w fran Lawrence/ Bloor</t>
        </is>
      </c>
      <c r="E18" s="314" t="n">
        <v>5.5</v>
      </c>
      <c r="F18" s="45" t="n"/>
      <c r="G18" s="314" t="n"/>
      <c r="H18" s="301" t="inlineStr">
        <is>
          <t>10-7p EVENT</t>
        </is>
      </c>
      <c r="I18" s="314" t="n">
        <v>8.5</v>
      </c>
      <c r="J18" s="273" t="n"/>
      <c r="K18" s="314" t="n"/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8" customHeight="1">
      <c r="A19" s="350" t="inlineStr">
        <is>
          <t xml:space="preserve">NAHIM </t>
        </is>
      </c>
      <c r="B19" s="45" t="inlineStr">
        <is>
          <t>10a-5pm w FRAN</t>
        </is>
      </c>
      <c r="C19" s="48" t="n">
        <v>6.5</v>
      </c>
      <c r="D19" s="45" t="inlineStr">
        <is>
          <t>OFF</t>
        </is>
      </c>
      <c r="E19" s="48" t="n"/>
      <c r="F19" s="45" t="inlineStr">
        <is>
          <t>8a-10a w Nabeela/ 10a-5p w Fran</t>
        </is>
      </c>
      <c r="G19" s="48" t="n">
        <v>8.5</v>
      </c>
      <c r="H19" s="50" t="inlineStr">
        <is>
          <t>11a-7p w fran/ event lead &amp; BAR</t>
        </is>
      </c>
      <c r="I19" s="48" t="n">
        <v>7.5</v>
      </c>
      <c r="J19" s="101" t="inlineStr">
        <is>
          <t>8a-9a f2 TR w MEG/ 9a-2p TR CC w Aashima/ B@2/ 2:30-4 f2</t>
        </is>
      </c>
      <c r="K19" s="48" t="n">
        <v>7.5</v>
      </c>
      <c r="L19" s="301" t="inlineStr">
        <is>
          <t>OFF</t>
        </is>
      </c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45" t="inlineStr">
        <is>
          <t>Intern- Levi 3</t>
        </is>
      </c>
      <c r="B20" s="82" t="n"/>
      <c r="C20" s="18" t="n"/>
      <c r="D20" s="334" t="n"/>
      <c r="E20" s="18" t="n"/>
      <c r="F20" s="82" t="n"/>
      <c r="G20" s="18" t="n"/>
      <c r="H20" s="356" t="inlineStr">
        <is>
          <t>8a-1p f2 DESK TR</t>
        </is>
      </c>
      <c r="I20" s="18" t="n">
        <v>5</v>
      </c>
      <c r="J20" s="101" t="inlineStr">
        <is>
          <t>9a-2p TR CC w Aashima</t>
        </is>
      </c>
      <c r="K20" s="48" t="n">
        <v>5</v>
      </c>
      <c r="L20" s="60" t="inlineStr">
        <is>
          <t>11:30a-6p GR</t>
        </is>
      </c>
      <c r="M20" s="314" t="n">
        <v>6</v>
      </c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48" customHeight="1">
      <c r="A21" s="45" t="inlineStr">
        <is>
          <t>Intern - Himanshu 3</t>
        </is>
      </c>
      <c r="B21" s="321" t="inlineStr">
        <is>
          <t>8a-9 ELEV/ 9a-11 f2/ 11-12 ELV/ 12-1p f2 DESK TR</t>
        </is>
      </c>
      <c r="C21" s="18" t="n">
        <v>5</v>
      </c>
      <c r="D21" s="141" t="n"/>
      <c r="E21" s="18" t="n"/>
      <c r="F21" s="334" t="n"/>
      <c r="G21" s="18" t="n"/>
      <c r="H21" s="333" t="inlineStr">
        <is>
          <t>2p-7p GR event</t>
        </is>
      </c>
      <c r="I21" s="18" t="n">
        <v>5</v>
      </c>
      <c r="J21" s="132" t="inlineStr">
        <is>
          <t>9a-2p TR CC w Aashima</t>
        </is>
      </c>
      <c r="K21" s="314" t="n">
        <v>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16" customHeight="1">
      <c r="A22" s="52" t="inlineStr">
        <is>
          <t>Total PT DAILY HOURS</t>
        </is>
      </c>
      <c r="B22" s="3" t="n"/>
      <c r="C22" s="3">
        <f>SUM(C7:C14)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8.7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  <c r="Q29">
        <f>P22*20</f>
        <v/>
      </c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9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</row>
    <row r="33" ht="15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  <c r="T33" t="inlineStr">
        <is>
          <t xml:space="preserve"> </t>
        </is>
      </c>
    </row>
    <row r="34" ht="18.7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AA36"/>
  <sheetViews>
    <sheetView zoomScale="70" zoomScaleNormal="70" workbookViewId="0">
      <selection activeCell="J18" sqref="J18"/>
    </sheetView>
  </sheetViews>
  <sheetFormatPr baseColWidth="10" defaultColWidth="8.83203125" defaultRowHeight="15"/>
  <cols>
    <col width="26.5" customWidth="1" min="1" max="1"/>
    <col width="35.5" customWidth="1" min="2" max="2"/>
    <col width="5.5" bestFit="1" customWidth="1" min="3" max="3"/>
    <col width="20" customWidth="1" min="4" max="4"/>
    <col width="5.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7.33203125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3.83203125" customWidth="1" min="18" max="18"/>
    <col width="11.33203125" customWidth="1" min="19" max="19"/>
    <col width="19.5" bestFit="1" customWidth="1" min="21" max="21"/>
    <col width="15.5" customWidth="1" min="22" max="22"/>
    <col width="19.1640625" customWidth="1" min="24" max="24"/>
    <col width="15" customWidth="1" min="25" max="25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46146</v>
      </c>
      <c r="C2" s="6" t="n"/>
      <c r="D2" s="5" t="n">
        <v>46147</v>
      </c>
      <c r="E2" s="6" t="n"/>
      <c r="F2" s="5" t="n">
        <v>46148</v>
      </c>
      <c r="G2" s="6" t="n"/>
      <c r="H2" s="5" t="n">
        <v>46149</v>
      </c>
      <c r="I2" s="6" t="n"/>
      <c r="J2" s="5" t="n">
        <v>46150</v>
      </c>
      <c r="K2" s="6" t="n"/>
      <c r="L2" s="5" t="n">
        <v>46151</v>
      </c>
      <c r="M2" s="6" t="n"/>
      <c r="N2" s="5" t="n">
        <v>46152</v>
      </c>
      <c r="O2" s="7" t="n"/>
      <c r="P2" s="3" t="n"/>
    </row>
    <row r="3" ht="63" customHeight="1">
      <c r="A3" s="8" t="inlineStr">
        <is>
          <t>EVENTS</t>
        </is>
      </c>
      <c r="B3" s="346" t="inlineStr">
        <is>
          <t>Graduate photos 608 / Reading week / MOU signing ceremony with EPRI - 3PM 6B / ORIENTATION F2+ Ground  / Registration 601 &amp;multipurpose off</t>
        </is>
      </c>
      <c r="C3" s="10" t="n"/>
      <c r="D3" s="62" t="inlineStr">
        <is>
          <t>Graduate photos 608 / Reading week</t>
        </is>
      </c>
      <c r="E3" s="10" t="n"/>
      <c r="F3" s="62" t="inlineStr">
        <is>
          <t xml:space="preserve">First Day of Class  / FRAN &amp; AASHIMA KH 10a-3p </t>
        </is>
      </c>
      <c r="G3" s="11" t="n"/>
      <c r="H3" s="62" t="n"/>
      <c r="I3" s="10" t="n"/>
      <c r="J3" s="62" t="inlineStr">
        <is>
          <t>Graduate photos 608 / Reading week         CHINNI LAST DAY!</t>
        </is>
      </c>
      <c r="K3" s="10" t="n"/>
      <c r="L3" s="62" t="n"/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9a-8p</t>
        </is>
      </c>
      <c r="C4" s="18" t="n">
        <v>11</v>
      </c>
      <c r="D4" s="18" t="inlineStr">
        <is>
          <t>9a-12pm offsite/ 12-7:30</t>
        </is>
      </c>
      <c r="E4" s="18" t="n">
        <v>10.5</v>
      </c>
      <c r="F4" s="18" t="inlineStr">
        <is>
          <t>10a-8:30p</t>
        </is>
      </c>
      <c r="G4" s="18" t="n">
        <v>10.5</v>
      </c>
      <c r="H4" s="18" t="inlineStr">
        <is>
          <t>9a-6p</t>
        </is>
      </c>
      <c r="I4" s="18" t="n">
        <v>8</v>
      </c>
      <c r="J4" s="18" t="inlineStr">
        <is>
          <t>OFF</t>
        </is>
      </c>
      <c r="K4" s="18" t="n"/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8a-4p</t>
        </is>
      </c>
      <c r="C5" s="18" t="n">
        <v>8</v>
      </c>
      <c r="D5" s="18" t="inlineStr">
        <is>
          <t>RO -lieu used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301" t="inlineStr">
        <is>
          <t>7:45a-3:45p GROUND Lead/ runner</t>
        </is>
      </c>
      <c r="C6" s="314" t="n">
        <v>7.5</v>
      </c>
      <c r="D6" s="329" t="inlineStr">
        <is>
          <t>1p-6p GR CC</t>
        </is>
      </c>
      <c r="E6" s="314" t="n">
        <v>5</v>
      </c>
      <c r="F6" s="301" t="inlineStr">
        <is>
          <t>7:45a-3:15p f2 desk</t>
        </is>
      </c>
      <c r="G6" s="314" t="n">
        <v>7</v>
      </c>
      <c r="H6" s="135" t="n"/>
      <c r="I6" s="314" t="n"/>
      <c r="J6" s="314" t="inlineStr">
        <is>
          <t>8a-12p f2/ 12-12:30GR</t>
        </is>
      </c>
      <c r="K6" s="314" t="n">
        <v>4.5</v>
      </c>
      <c r="L6" s="326" t="inlineStr">
        <is>
          <t>RO</t>
        </is>
      </c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>
      <c r="A7" s="163" t="inlineStr">
        <is>
          <t>Kavya C</t>
        </is>
      </c>
      <c r="B7" s="153" t="inlineStr">
        <is>
          <t>11a-7p f2  Lead/ Runner</t>
        </is>
      </c>
      <c r="C7" s="314" t="n">
        <v>7.5</v>
      </c>
      <c r="D7" s="56" t="inlineStr">
        <is>
          <t>RO</t>
        </is>
      </c>
      <c r="E7" s="314" t="n"/>
      <c r="F7" s="347" t="inlineStr">
        <is>
          <t>7:45a-3:15p f6 CC B@1</t>
        </is>
      </c>
      <c r="G7" s="314" t="n">
        <v>7</v>
      </c>
      <c r="H7" s="327" t="inlineStr">
        <is>
          <t>7:45a-5:45 f6</t>
        </is>
      </c>
      <c r="I7" s="314" t="n">
        <v>9.5</v>
      </c>
      <c r="J7" s="34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314" t="inlineStr">
        <is>
          <t>8a-5p f6 Lead/ Runner</t>
        </is>
      </c>
      <c r="C8" s="314" t="n">
        <v>8.5</v>
      </c>
      <c r="D8" s="314" t="inlineStr">
        <is>
          <t>RO</t>
        </is>
      </c>
      <c r="E8" s="314" t="n"/>
      <c r="F8" s="301" t="inlineStr">
        <is>
          <t>8a-6p f6 B@2</t>
        </is>
      </c>
      <c r="G8" s="314" t="n">
        <v>9.5</v>
      </c>
      <c r="H8" s="69" t="n"/>
      <c r="I8" s="314" t="n"/>
      <c r="J8" s="298" t="n"/>
      <c r="K8" s="314" t="n"/>
      <c r="L8" s="301" t="inlineStr">
        <is>
          <t>8a-2:30p f2 B@12</t>
        </is>
      </c>
      <c r="M8" s="48" t="n">
        <v>6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28" t="inlineStr">
        <is>
          <t>Sagar C</t>
        </is>
      </c>
      <c r="B9" s="326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314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48" t="inlineStr">
        <is>
          <t>8a-6p GROUND DESK</t>
        </is>
      </c>
      <c r="C10" s="48" t="n">
        <v>9.5</v>
      </c>
      <c r="D10" s="14" t="n"/>
      <c r="E10" s="314" t="n"/>
      <c r="F10" s="329" t="n"/>
      <c r="G10" s="314" t="n"/>
      <c r="H10" s="326" t="inlineStr">
        <is>
          <t>11a-7p GR CC</t>
        </is>
      </c>
      <c r="I10" s="314" t="n">
        <v>7.5</v>
      </c>
      <c r="J10" s="334" t="inlineStr">
        <is>
          <t>12p-7:30 f2/ closer B@2:30</t>
        </is>
      </c>
      <c r="K10" s="314" t="n">
        <v>7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 xml:space="preserve">Viviana </t>
        </is>
      </c>
      <c r="B11" s="330" t="inlineStr">
        <is>
          <t>2p-8pm  f2/ closer</t>
        </is>
      </c>
      <c r="C11" s="314" t="n">
        <v>5.5</v>
      </c>
      <c r="D11" s="330" t="inlineStr">
        <is>
          <t>2:30p-3 f6/ 3-7:30 f2 closer</t>
        </is>
      </c>
      <c r="E11" s="314" t="n">
        <v>5</v>
      </c>
      <c r="F11" s="330" t="inlineStr">
        <is>
          <t>2:30p-3 GR/ 3-7:30 f2 closer</t>
        </is>
      </c>
      <c r="G11" s="314" t="n">
        <v>5</v>
      </c>
      <c r="H11" s="330" t="inlineStr">
        <is>
          <t>4p-7:30p f2/closer</t>
        </is>
      </c>
      <c r="I11" s="314" t="n">
        <v>3.5</v>
      </c>
      <c r="J11" s="330" t="n"/>
      <c r="K11" s="314" t="n"/>
      <c r="L11" s="45" t="inlineStr">
        <is>
          <t>2:30p-730 f2/closer</t>
        </is>
      </c>
      <c r="M11" s="314" t="n">
        <v>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32" customHeight="1">
      <c r="A12" s="60" t="inlineStr">
        <is>
          <t xml:space="preserve">Anastasia </t>
        </is>
      </c>
      <c r="B12" s="329" t="inlineStr">
        <is>
          <t>8a-3:30p CC WFH</t>
        </is>
      </c>
      <c r="C12" s="314" t="n">
        <v>7</v>
      </c>
      <c r="D12" s="213" t="inlineStr">
        <is>
          <t>8a-7p f6CC B@2:30</t>
        </is>
      </c>
      <c r="E12" s="314" t="n">
        <v>10.5</v>
      </c>
      <c r="F12" s="329" t="n"/>
      <c r="G12" s="314" t="n"/>
      <c r="H12" s="329" t="n"/>
      <c r="I12" s="314" t="n"/>
      <c r="J12" s="347" t="n"/>
      <c r="K12" s="314" t="n"/>
      <c r="L12" s="56" t="inlineStr">
        <is>
          <t>CC 8a-3pm f6 B@12:30</t>
        </is>
      </c>
      <c r="M12" s="314" t="n">
        <v>6.5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MEG</t>
        </is>
      </c>
      <c r="B13" s="44" t="inlineStr">
        <is>
          <t>8a-12p F2 CC/ desk</t>
        </is>
      </c>
      <c r="C13" s="314" t="n">
        <v>4</v>
      </c>
      <c r="D13" s="273" t="n"/>
      <c r="E13" s="314" t="n"/>
      <c r="F13" s="314" t="inlineStr">
        <is>
          <t>7:30a-6p Ground B@2:30p (elev 8a-8:45a)</t>
        </is>
      </c>
      <c r="G13" s="314" t="n">
        <v>10</v>
      </c>
      <c r="H13" s="213" t="inlineStr">
        <is>
          <t>8a-11:30a GR CC</t>
        </is>
      </c>
      <c r="I13" s="314" t="n">
        <v>3.5</v>
      </c>
      <c r="J13" s="347" t="inlineStr">
        <is>
          <t>CC 8a-3pm f6 B@1</t>
        </is>
      </c>
      <c r="K13" s="314" t="n">
        <v>6.5</v>
      </c>
      <c r="L13" s="60" t="inlineStr">
        <is>
          <t>RO</t>
        </is>
      </c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Achal</t>
        </is>
      </c>
      <c r="B14" s="45" t="inlineStr">
        <is>
          <t>7:45a-3:45p f6 Desk</t>
        </is>
      </c>
      <c r="C14" s="48" t="n">
        <v>7.5</v>
      </c>
      <c r="D14" s="326" t="inlineStr">
        <is>
          <t>8a-1 GR CC</t>
        </is>
      </c>
      <c r="E14" s="314" t="n">
        <v>5</v>
      </c>
      <c r="F14" s="329" t="inlineStr">
        <is>
          <t>8a-3:30p f2CC B@1:30</t>
        </is>
      </c>
      <c r="G14" s="314" t="n">
        <v>7</v>
      </c>
      <c r="H14" s="38" t="n"/>
      <c r="I14" s="314" t="n"/>
      <c r="J14" s="325" t="n"/>
      <c r="K14" s="314" t="n"/>
      <c r="L14" s="329" t="inlineStr">
        <is>
          <t>2:30p-7p CC f6</t>
        </is>
      </c>
      <c r="M14" s="314" t="n">
        <v>4.5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01" t="inlineStr">
        <is>
          <t>PRIYANKA (training)</t>
        </is>
      </c>
      <c r="B15" s="319" t="n"/>
      <c r="C15" s="314" t="n"/>
      <c r="D15" s="273" t="n"/>
      <c r="E15" s="314" t="n"/>
      <c r="F15" s="319" t="inlineStr">
        <is>
          <t>TR 8a-4p f6CC</t>
        </is>
      </c>
      <c r="G15" s="314" t="n">
        <v>7.5</v>
      </c>
      <c r="H15" s="319" t="inlineStr">
        <is>
          <t>TR 8a-4p f6CC</t>
        </is>
      </c>
      <c r="I15" s="314" t="n">
        <v>7.5</v>
      </c>
      <c r="J15" s="324" t="inlineStr">
        <is>
          <t xml:space="preserve"> (8a-9a ELEV) TR 9a-4p f6CC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 C</t>
        </is>
      </c>
      <c r="B16" s="301" t="inlineStr">
        <is>
          <t>Volunteering/ RO</t>
        </is>
      </c>
      <c r="C16" s="314" t="n"/>
      <c r="D16" s="348" t="n"/>
      <c r="E16" s="314" t="n"/>
      <c r="F16" s="349" t="inlineStr">
        <is>
          <t>8a-1p TR desk W Pablo no brk</t>
        </is>
      </c>
      <c r="G16" s="314" t="n">
        <v>5</v>
      </c>
      <c r="H16" s="314" t="inlineStr">
        <is>
          <t>8a-4p f2</t>
        </is>
      </c>
      <c r="I16" s="314" t="n">
        <v>7.5</v>
      </c>
      <c r="J16" s="314" t="inlineStr">
        <is>
          <t>8a-6p Ground 11a-12p elev GR B@12:30</t>
        </is>
      </c>
      <c r="K16" s="314" t="n">
        <v>9.5</v>
      </c>
      <c r="L16" s="298" t="inlineStr">
        <is>
          <t>12p-3p GROUND</t>
        </is>
      </c>
      <c r="M16" s="48" t="n">
        <v>2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RO</t>
        </is>
      </c>
      <c r="E17" s="18" t="n"/>
      <c r="F17" s="85" t="inlineStr">
        <is>
          <t>RO</t>
        </is>
      </c>
      <c r="G17" s="18" t="n"/>
      <c r="H17" s="303" t="inlineStr">
        <is>
          <t>RO</t>
        </is>
      </c>
      <c r="I17" s="18" t="n"/>
      <c r="J17" s="50" t="inlineStr">
        <is>
          <t>RO</t>
        </is>
      </c>
      <c r="K17" s="18" t="n"/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05.5" customHeight="1">
      <c r="A18" s="128" t="inlineStr">
        <is>
          <t>Daria  (temp) 24 hrs</t>
        </is>
      </c>
      <c r="B18" s="314" t="inlineStr">
        <is>
          <t>12p-7p f6 runner/ support</t>
        </is>
      </c>
      <c r="C18" s="314" t="n">
        <v>6.5</v>
      </c>
      <c r="D18" s="314" t="inlineStr">
        <is>
          <t>7:45a-3:30p f2</t>
        </is>
      </c>
      <c r="E18" s="314" t="n">
        <v>7.75</v>
      </c>
      <c r="F18" s="301" t="n"/>
      <c r="G18" s="314" t="n"/>
      <c r="H18" s="69" t="n"/>
      <c r="I18" s="314" t="n"/>
      <c r="J18" s="326" t="n"/>
      <c r="K18" s="314" t="n"/>
      <c r="L18" s="48" t="inlineStr">
        <is>
          <t>7:30a-12 GROUND 12-12:30 f2/ 12:30-1 f6CC/ B@1 / 2-3p f2/ 3-5:45p Ground</t>
        </is>
      </c>
      <c r="M18" s="48" t="n">
        <v>10</v>
      </c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32" customHeight="1">
      <c r="A19" s="128" t="inlineStr">
        <is>
          <t>Chinnesha (temp) 24 hrs</t>
        </is>
      </c>
      <c r="B19" s="56" t="inlineStr">
        <is>
          <t>11-7p f2CC B@3:30</t>
        </is>
      </c>
      <c r="C19" s="48" t="n">
        <v>7.5</v>
      </c>
      <c r="D19" s="329" t="n"/>
      <c r="E19" s="314" t="n"/>
      <c r="F19" s="56" t="inlineStr">
        <is>
          <t>11-7p f6CC B@3</t>
        </is>
      </c>
      <c r="G19" s="48" t="n">
        <v>7.5</v>
      </c>
      <c r="H19" s="243" t="n"/>
      <c r="I19" s="314" t="n"/>
      <c r="J19" s="56" t="inlineStr">
        <is>
          <t>9:30a-7p f6CC B@1:30 (Cover Mick Brk @ 2:30 f2)</t>
        </is>
      </c>
      <c r="K19" s="48" t="n">
        <v>9</v>
      </c>
      <c r="L19" s="48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350" t="n"/>
      <c r="B20" s="45" t="n"/>
      <c r="C20" s="48" t="n"/>
      <c r="D20" s="45" t="n"/>
      <c r="E20" s="48" t="n"/>
      <c r="F20" s="45" t="n"/>
      <c r="G20" s="48" t="n"/>
      <c r="H20" s="45" t="n"/>
      <c r="I20" s="48" t="n"/>
      <c r="J20" s="332" t="n"/>
      <c r="K20" s="14" t="n"/>
      <c r="L20" s="301" t="n"/>
      <c r="M20" s="48" t="n"/>
      <c r="N20" s="18" t="n"/>
      <c r="O20" s="18" t="n"/>
      <c r="P20" s="3" t="n"/>
      <c r="R20" s="121" t="n"/>
      <c r="S20" s="121" t="n"/>
      <c r="T20" s="121" t="n"/>
      <c r="U20" s="121" t="n"/>
    </row>
    <row r="21" ht="48" customHeight="1">
      <c r="A21" s="45" t="inlineStr">
        <is>
          <t>New Intern- Levi 2</t>
        </is>
      </c>
      <c r="B21" s="101" t="inlineStr">
        <is>
          <t>8a-3:30pm W NABEELA</t>
        </is>
      </c>
      <c r="C21" s="18" t="n">
        <v>7</v>
      </c>
      <c r="D21" s="143" t="n"/>
      <c r="E21" s="18" t="n"/>
      <c r="F21" s="349" t="inlineStr">
        <is>
          <t>8a-9a ELEV GR/ 9a-11a W Nabeela/ 11a-12p elev GR</t>
        </is>
      </c>
      <c r="G21" s="314" t="n">
        <v>4</v>
      </c>
      <c r="H21" s="319" t="inlineStr">
        <is>
          <t>8a-9a ELEV GR/ 9a-11a W Nabeela/ 11a-12p elev GR</t>
        </is>
      </c>
      <c r="I21" s="314" t="n">
        <v>4</v>
      </c>
      <c r="J21" s="325" t="n"/>
      <c r="K21" s="314" t="n"/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32" customHeight="1">
      <c r="A22" s="45" t="inlineStr">
        <is>
          <t>New Intern - Himanshu 2</t>
        </is>
      </c>
      <c r="B22" s="101" t="inlineStr">
        <is>
          <t>12p-7pm w SATISH</t>
        </is>
      </c>
      <c r="C22" s="18" t="n">
        <v>7</v>
      </c>
      <c r="D22" s="102" t="n"/>
      <c r="E22" s="18" t="n"/>
      <c r="F22" s="334" t="inlineStr">
        <is>
          <t>12p-4p w Satish</t>
        </is>
      </c>
      <c r="G22" s="18" t="n">
        <v>4</v>
      </c>
      <c r="H22" s="85" t="n"/>
      <c r="I22" s="18" t="n"/>
      <c r="J22" s="334" t="inlineStr">
        <is>
          <t>12p-1 Ground Desk/ 1-4p w Satish</t>
        </is>
      </c>
      <c r="K22" s="18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 ht="16" customHeight="1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6" customHeight="1" thickBot="1">
      <c r="A26" s="264" t="inlineStr">
        <is>
          <t>Shifts  Will Vary based on class schedule, business demand, Availability &amp; RO's</t>
        </is>
      </c>
      <c r="B26" s="264" t="n"/>
      <c r="C26" s="439" t="n"/>
      <c r="D26" s="121" t="n"/>
    </row>
    <row r="27" ht="20" customHeight="1" thickBot="1">
      <c r="A27" s="145" t="inlineStr">
        <is>
          <t>AVAILABILITIES</t>
        </is>
      </c>
      <c r="D27" s="424" t="inlineStr">
        <is>
          <t>7-week Internship Up-to 15 hrs/ wk</t>
        </is>
      </c>
      <c r="E27" s="440" t="n"/>
      <c r="F27" s="440" t="n"/>
      <c r="G27" s="440" t="n"/>
      <c r="H27" s="440" t="n"/>
      <c r="I27" s="440" t="n"/>
      <c r="J27" s="441" t="n"/>
    </row>
    <row r="28" ht="19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20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20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20" customHeight="1" thickBot="1">
      <c r="A31" s="149" t="inlineStr">
        <is>
          <t>After 3:30pm</t>
        </is>
      </c>
      <c r="D31" s="424" t="inlineStr">
        <is>
          <t>Fast Track internship 5-weeks Up-to 21-Hours per week</t>
        </is>
      </c>
      <c r="E31" s="440" t="n"/>
      <c r="F31" s="440" t="n"/>
      <c r="G31" s="440" t="n"/>
      <c r="H31" s="440" t="n"/>
      <c r="I31" s="440" t="n"/>
      <c r="J31" s="441" t="n"/>
    </row>
    <row r="32" ht="19" customHeight="1">
      <c r="A32" s="150" t="inlineStr">
        <is>
          <t>12-3p</t>
        </is>
      </c>
      <c r="D32" s="442" t="inlineStr">
        <is>
          <t>first 30 hours Intro w elevator + support open/CL</t>
        </is>
      </c>
      <c r="J32" s="443" t="n"/>
    </row>
    <row r="33" ht="19" customHeight="1">
      <c r="A33" s="151" t="inlineStr">
        <is>
          <t>after 12 - eod</t>
        </is>
      </c>
      <c r="D33" s="442" t="inlineStr">
        <is>
          <t>2nd 30 hours DESK</t>
        </is>
      </c>
      <c r="J33" s="443" t="n"/>
      <c r="T33" t="inlineStr">
        <is>
          <t xml:space="preserve"> </t>
        </is>
      </c>
    </row>
    <row r="34" ht="19" customHeight="1">
      <c r="A34" s="152" t="inlineStr">
        <is>
          <t>Before 12 and after 3:30</t>
        </is>
      </c>
      <c r="D34" s="442" t="inlineStr">
        <is>
          <t>15 hours Call Centre</t>
        </is>
      </c>
      <c r="J34" s="443" t="n"/>
    </row>
    <row r="35" ht="16" customHeight="1" thickBot="1">
      <c r="D35" s="444" t="inlineStr">
        <is>
          <t>30 hours Management</t>
        </is>
      </c>
      <c r="E35" s="445" t="n"/>
      <c r="F35" s="445" t="n"/>
      <c r="G35" s="445" t="n"/>
      <c r="H35" s="445" t="n"/>
      <c r="I35" s="445" t="n"/>
      <c r="J35" s="446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  <c r="W36" s="351" t="inlineStr">
        <is>
          <t>Friday</t>
        </is>
      </c>
      <c r="X36" s="351" t="inlineStr">
        <is>
          <t>Saturday</t>
        </is>
      </c>
      <c r="Y36" s="351" t="inlineStr">
        <is>
          <t>Sunday</t>
        </is>
      </c>
      <c r="Z36" s="351" t="inlineStr">
        <is>
          <t>Notes</t>
        </is>
      </c>
      <c r="AA36" s="351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V35"/>
  <sheetViews>
    <sheetView zoomScale="70" zoomScaleNormal="70" workbookViewId="0">
      <selection activeCell="D10" sqref="D10"/>
    </sheetView>
  </sheetViews>
  <sheetFormatPr baseColWidth="10" defaultColWidth="8.83203125" defaultRowHeight="15"/>
  <cols>
    <col width="26.5" customWidth="1" min="1" max="1"/>
    <col width="17.5" customWidth="1" min="2" max="2"/>
    <col width="5.5" customWidth="1" min="3" max="3"/>
    <col width="20" customWidth="1" min="4" max="4"/>
    <col width="5.1640625" bestFit="1" customWidth="1" min="5" max="5"/>
    <col width="33.5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46139</v>
      </c>
      <c r="C2" s="6" t="n"/>
      <c r="D2" s="5" t="n">
        <v>46140</v>
      </c>
      <c r="E2" s="6" t="n"/>
      <c r="F2" s="5" t="n">
        <v>46141</v>
      </c>
      <c r="G2" s="6" t="n"/>
      <c r="H2" s="5" t="inlineStr">
        <is>
          <t>30 Aprl</t>
        </is>
      </c>
      <c r="I2" s="6" t="n"/>
      <c r="J2" s="5" t="n">
        <v>46143</v>
      </c>
      <c r="K2" s="6" t="n"/>
      <c r="L2" s="5" t="n">
        <v>46144</v>
      </c>
      <c r="M2" s="6" t="n"/>
      <c r="N2" s="5" t="n">
        <v>46145</v>
      </c>
      <c r="O2" s="7" t="n"/>
      <c r="P2" s="3" t="n"/>
    </row>
    <row r="3" ht="72.5" customHeight="1">
      <c r="A3" s="8" t="inlineStr">
        <is>
          <t>EVENTS</t>
        </is>
      </c>
      <c r="B3" s="62" t="inlineStr">
        <is>
          <t>Graduate photos 608 / Reading week / Registration</t>
        </is>
      </c>
      <c r="C3" s="10" t="n"/>
      <c r="D3" s="62" t="inlineStr">
        <is>
          <t>Graduate photos 608 / Reading week / Registration</t>
        </is>
      </c>
      <c r="E3" s="10" t="n"/>
      <c r="F3" s="62" t="inlineStr">
        <is>
          <t>Graduate photos 608 / Reading week/ REGISTRATION / Canine Therapy 1p-2p HUB / OPS Party 2:30-4:30p IQRA LAST DAY</t>
        </is>
      </c>
      <c r="G3" s="11" t="n"/>
      <c r="H3" s="62" t="inlineStr">
        <is>
          <t xml:space="preserve">Graduate photos 608 / SCOTIABANK JOB FAIR 5p-7p/ First Aid TRAINING 9a-5p  </t>
        </is>
      </c>
      <c r="I3" s="10" t="n"/>
      <c r="J3" s="62" t="inlineStr">
        <is>
          <t>Graduate photos 608 / Reading week / Registration</t>
        </is>
      </c>
      <c r="K3" s="10" t="n"/>
      <c r="L3" s="62" t="inlineStr">
        <is>
          <t>Graduate photos 608 / Reading week / Can Close Ground</t>
        </is>
      </c>
      <c r="M3" s="13" t="n"/>
      <c r="N3" s="62" t="n"/>
      <c r="O3" s="15" t="n"/>
      <c r="P3" s="3" t="n"/>
    </row>
    <row r="4" ht="16" customHeight="1">
      <c r="A4" s="82" t="inlineStr">
        <is>
          <t>Fran</t>
        </is>
      </c>
      <c r="B4" s="18" t="inlineStr">
        <is>
          <t>9a-8:30p offsite</t>
        </is>
      </c>
      <c r="C4" s="18" t="n">
        <v>11.5</v>
      </c>
      <c r="D4" s="18" t="inlineStr">
        <is>
          <t>9:30-7p/ 10p-2a</t>
        </is>
      </c>
      <c r="E4" s="18" t="n">
        <v>13.5</v>
      </c>
      <c r="F4" s="18" t="inlineStr">
        <is>
          <t>10a-8p</t>
        </is>
      </c>
      <c r="G4" s="18" t="n">
        <v>10</v>
      </c>
      <c r="H4" s="18" t="inlineStr">
        <is>
          <t>9a-3 offsite/ 3-7:30p</t>
        </is>
      </c>
      <c r="I4" s="18" t="n">
        <v>10.5</v>
      </c>
      <c r="J4" s="18" t="inlineStr">
        <is>
          <t>offsite</t>
        </is>
      </c>
      <c r="K4" s="18" t="n">
        <v>3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8a-5p f2</t>
        </is>
      </c>
      <c r="I5" s="18" t="n">
        <v>9</v>
      </c>
      <c r="J5" s="18" t="inlineStr">
        <is>
          <t>9a-4 WFH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0.5" customHeight="1">
      <c r="A6" s="163" t="inlineStr">
        <is>
          <t>Pablo</t>
        </is>
      </c>
      <c r="B6" s="301" t="inlineStr">
        <is>
          <t>8a-3p f2</t>
        </is>
      </c>
      <c r="C6" s="314" t="n">
        <v>6.5</v>
      </c>
      <c r="D6" s="301" t="n"/>
      <c r="E6" s="314" t="n"/>
      <c r="F6" s="325" t="inlineStr">
        <is>
          <t>11a-5:30p Events</t>
        </is>
      </c>
      <c r="G6" s="314" t="n">
        <v>6</v>
      </c>
      <c r="H6" s="325" t="inlineStr">
        <is>
          <t>12- 8p events + closing</t>
        </is>
      </c>
      <c r="I6" s="314" t="n">
        <v>7.5</v>
      </c>
      <c r="J6" s="325" t="inlineStr">
        <is>
          <t>10a-2p campus reset/ B@2/ 2:30-3 GR CC/ 3-3:30 f2/ 3:30-4 set-up</t>
        </is>
      </c>
      <c r="K6" s="314" t="n">
        <v>5.5</v>
      </c>
      <c r="L6" s="326" t="inlineStr">
        <is>
          <t>7:45a-12:45p GROUND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327" t="n"/>
      <c r="C7" s="314" t="n"/>
      <c r="D7" s="327" t="inlineStr">
        <is>
          <t>7:30a-9a GR CC/ 9a-4p f2 CC</t>
        </is>
      </c>
      <c r="E7" s="314" t="n">
        <v>8</v>
      </c>
      <c r="F7" s="327" t="inlineStr">
        <is>
          <t>7:30a-4p F6 CC</t>
        </is>
      </c>
      <c r="G7" s="314" t="n">
        <v>8</v>
      </c>
      <c r="H7" s="327" t="inlineStr">
        <is>
          <t>7:30a-9a GR CC/ 9a-4p f2 CC</t>
        </is>
      </c>
      <c r="I7" s="314" t="n">
        <v>8</v>
      </c>
      <c r="J7" s="32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335" t="inlineStr">
        <is>
          <t>6th Floor</t>
        </is>
      </c>
      <c r="S7" s="336" t="inlineStr">
        <is>
          <t>2nd Floor</t>
        </is>
      </c>
      <c r="T7" s="336" t="inlineStr">
        <is>
          <t>Ground</t>
        </is>
      </c>
      <c r="U7" s="337" t="n"/>
    </row>
    <row r="8" ht="16" customHeight="1">
      <c r="A8" s="128" t="inlineStr">
        <is>
          <t>Taran C</t>
        </is>
      </c>
      <c r="B8" s="301" t="inlineStr">
        <is>
          <t>8a-6p f6</t>
        </is>
      </c>
      <c r="C8" s="314" t="n">
        <v>9.5</v>
      </c>
      <c r="D8" s="301" t="inlineStr">
        <is>
          <t>8a-3:30p f6</t>
        </is>
      </c>
      <c r="E8" s="314" t="n">
        <v>7</v>
      </c>
      <c r="F8" s="301" t="n"/>
      <c r="G8" s="314" t="n"/>
      <c r="H8" s="69" t="n"/>
      <c r="I8" s="314" t="n"/>
      <c r="J8" s="328" t="inlineStr">
        <is>
          <t>8a-4p f6 B@11</t>
        </is>
      </c>
      <c r="K8" s="314" t="n">
        <v>7.5</v>
      </c>
      <c r="L8" s="301" t="n"/>
      <c r="M8" s="48" t="n"/>
      <c r="N8" s="18" t="inlineStr">
        <is>
          <t>OFF</t>
        </is>
      </c>
      <c r="O8" s="18" t="n"/>
      <c r="P8" s="3">
        <f>SUM(O8,M8,K8,I8,G8,E8,C8)</f>
        <v/>
      </c>
      <c r="R8" s="338" t="n"/>
      <c r="S8" s="210" t="n"/>
      <c r="T8" s="339" t="n"/>
      <c r="U8" s="340" t="inlineStr">
        <is>
          <t>CC 8am</t>
        </is>
      </c>
    </row>
    <row r="9" ht="16" customHeight="1">
      <c r="A9" s="128" t="inlineStr">
        <is>
          <t>Sagar C</t>
        </is>
      </c>
      <c r="B9" s="326" t="n"/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n"/>
      <c r="K9" s="314" t="n"/>
      <c r="L9" s="301" t="n"/>
      <c r="M9" s="48" t="n"/>
      <c r="N9" s="18" t="inlineStr">
        <is>
          <t>OFF</t>
        </is>
      </c>
      <c r="O9" s="18" t="n"/>
      <c r="P9" s="3">
        <f>SUM(O9,M9,K9,I9,G9,E9,C9)</f>
        <v/>
      </c>
      <c r="R9" s="338" t="n"/>
      <c r="S9" s="210" t="n"/>
      <c r="T9" s="339" t="n"/>
      <c r="U9" s="340" t="inlineStr">
        <is>
          <t>CC PM -7pm</t>
        </is>
      </c>
    </row>
    <row r="10" ht="32" customHeight="1">
      <c r="A10" s="45" t="inlineStr">
        <is>
          <t>Mickaela  C</t>
        </is>
      </c>
      <c r="B10" s="56" t="inlineStr">
        <is>
          <t>7:30a-9a GR CC/ 9a-4p f2 CC</t>
        </is>
      </c>
      <c r="C10" s="48" t="n">
        <v>8</v>
      </c>
      <c r="D10" s="14" t="inlineStr">
        <is>
          <t>8a-9a f2/ 9a-12 set-up</t>
        </is>
      </c>
      <c r="E10" s="314" t="n">
        <v>4</v>
      </c>
      <c r="F10" s="329" t="inlineStr">
        <is>
          <t>3-7p f6</t>
        </is>
      </c>
      <c r="G10" s="314" t="n">
        <v>4</v>
      </c>
      <c r="H10" s="327" t="n"/>
      <c r="I10" s="314" t="n"/>
      <c r="J10" s="314" t="inlineStr">
        <is>
          <t>1p-7:30p f2/closing</t>
        </is>
      </c>
      <c r="K10" s="314" t="n">
        <v>6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338" t="n"/>
      <c r="S10" s="210" t="n"/>
      <c r="T10" s="210" t="n"/>
      <c r="U10" s="340" t="inlineStr">
        <is>
          <t>OPS AM 7:30am</t>
        </is>
      </c>
    </row>
    <row r="11" ht="35" customHeight="1">
      <c r="A11" s="163" t="inlineStr">
        <is>
          <t xml:space="preserve">Viviana </t>
        </is>
      </c>
      <c r="B11" s="330" t="inlineStr">
        <is>
          <t>3p-7:30p f2/ closing</t>
        </is>
      </c>
      <c r="C11" s="314" t="n">
        <v>4.5</v>
      </c>
      <c r="D11" s="314" t="inlineStr">
        <is>
          <t>2:30-7:30p f2/ closing</t>
        </is>
      </c>
      <c r="E11" s="314" t="n">
        <v>5</v>
      </c>
      <c r="F11" s="330" t="inlineStr">
        <is>
          <t>3p-7:30p f2/ closing</t>
        </is>
      </c>
      <c r="G11" s="314" t="n">
        <v>4.5</v>
      </c>
      <c r="H11" s="301" t="inlineStr">
        <is>
          <t>1:30-8p f2</t>
        </is>
      </c>
      <c r="I11" s="314" t="n">
        <v>6</v>
      </c>
      <c r="J11" s="329" t="inlineStr">
        <is>
          <t>8a-12p GR CC</t>
        </is>
      </c>
      <c r="K11" s="314" t="n">
        <v>4</v>
      </c>
      <c r="L11" s="301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338" t="n"/>
      <c r="S11" s="210" t="n"/>
      <c r="T11" s="210" t="n"/>
      <c r="U11" s="340" t="inlineStr">
        <is>
          <t>OPS MID/ BRKS</t>
        </is>
      </c>
    </row>
    <row r="12" ht="135" customHeight="1">
      <c r="A12" s="60" t="inlineStr">
        <is>
          <t xml:space="preserve">Anastasia </t>
        </is>
      </c>
      <c r="B12" s="329" t="n"/>
      <c r="C12" s="314" t="n"/>
      <c r="D12" s="14" t="n"/>
      <c r="E12" s="314" t="n"/>
      <c r="F12" s="329" t="inlineStr">
        <is>
          <t>11a-7p CC  f2</t>
        </is>
      </c>
      <c r="G12" s="314" t="n">
        <v>7.5</v>
      </c>
      <c r="H12" s="329" t="inlineStr">
        <is>
          <t>9a-6p CC  GR/ 6-7 f6CC</t>
        </is>
      </c>
      <c r="I12" s="314" t="n">
        <v>9.5</v>
      </c>
      <c r="J12" s="329" t="n"/>
      <c r="K12" s="314" t="n"/>
      <c r="L12" s="329" t="inlineStr">
        <is>
          <t>11a-2 setup/ 2-2:30p f2/ 2:30-3 f6/ 3-7p f2/ closing B@3</t>
        </is>
      </c>
      <c r="M12" s="314" t="n">
        <v>5</v>
      </c>
      <c r="N12" s="18" t="inlineStr">
        <is>
          <t>OFF</t>
        </is>
      </c>
      <c r="O12" s="18" t="n"/>
      <c r="P12" s="3">
        <f>SUM(O12,M12,K12,I12,G12,E12,C12)</f>
        <v/>
      </c>
      <c r="R12" s="338" t="n"/>
      <c r="S12" s="210" t="n"/>
      <c r="T12" s="210" t="n"/>
      <c r="U12" s="340" t="inlineStr">
        <is>
          <t>OPS PM - finish 7:30/8</t>
        </is>
      </c>
    </row>
    <row r="13" ht="32" customHeight="1">
      <c r="A13" s="316" t="inlineStr">
        <is>
          <t>MEG</t>
        </is>
      </c>
      <c r="B13" s="331" t="inlineStr">
        <is>
          <t>9a-2p f6CC</t>
        </is>
      </c>
      <c r="C13" s="314" t="n">
        <v>5</v>
      </c>
      <c r="D13" s="273" t="n"/>
      <c r="E13" s="314" t="n"/>
      <c r="F13" s="314" t="n"/>
      <c r="G13" s="314" t="n"/>
      <c r="H13" s="56" t="n"/>
      <c r="I13" s="314" t="n"/>
      <c r="J13" s="173" t="inlineStr">
        <is>
          <t>8a-1p f2</t>
        </is>
      </c>
      <c r="K13" s="314" t="n">
        <v>5</v>
      </c>
      <c r="L13" s="56" t="inlineStr">
        <is>
          <t>7:45a-4:15p f2 CC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338" t="n"/>
      <c r="S13" s="210" t="n"/>
      <c r="T13" s="210" t="n"/>
      <c r="U13" s="340" t="n"/>
    </row>
    <row r="14" ht="32" customHeight="1">
      <c r="A14" s="101" t="inlineStr">
        <is>
          <t>Achal</t>
        </is>
      </c>
      <c r="B14" s="332" t="n"/>
      <c r="C14" s="14" t="n"/>
      <c r="D14" s="326" t="inlineStr">
        <is>
          <t>9a-7p f6</t>
        </is>
      </c>
      <c r="E14" s="314" t="n">
        <v>9.5</v>
      </c>
      <c r="F14" s="101" t="n"/>
      <c r="G14" s="48" t="n"/>
      <c r="H14" s="314" t="n"/>
      <c r="I14" s="314" t="n"/>
      <c r="J14" s="325" t="inlineStr">
        <is>
          <t>10a-2p campus reset w Pablo</t>
        </is>
      </c>
      <c r="K14" s="314" t="n">
        <v>4</v>
      </c>
      <c r="L14" s="329" t="inlineStr">
        <is>
          <t>8a-7p f6 CC B@2:30</t>
        </is>
      </c>
      <c r="M14" s="314" t="n">
        <v>10.5</v>
      </c>
      <c r="N14" s="18" t="inlineStr">
        <is>
          <t>OFF</t>
        </is>
      </c>
      <c r="O14" s="18" t="n"/>
      <c r="P14" s="3">
        <f>SUM(O14,M14,K14,I14,G14,E14,C14)</f>
        <v/>
      </c>
      <c r="R14" s="341" t="n"/>
      <c r="S14" s="121" t="n"/>
      <c r="T14" s="121" t="n"/>
      <c r="U14" s="342" t="n"/>
    </row>
    <row r="15" ht="32" customHeight="1">
      <c r="A15" s="101" t="inlineStr">
        <is>
          <t>PRIYANKA</t>
        </is>
      </c>
      <c r="B15" s="331" t="inlineStr">
        <is>
          <t>TR Ground 7:30a-2:30p CC</t>
        </is>
      </c>
      <c r="C15" s="314" t="n">
        <v>6.5</v>
      </c>
      <c r="D15" s="273" t="n"/>
      <c r="E15" s="314" t="n"/>
      <c r="F15" s="331" t="n"/>
      <c r="G15" s="48" t="n"/>
      <c r="H15" s="331" t="inlineStr">
        <is>
          <t>TR w Kaviya 7:30a-2:30p</t>
        </is>
      </c>
      <c r="I15" s="314" t="n">
        <v>6.5</v>
      </c>
      <c r="J15" s="331" t="inlineStr">
        <is>
          <t>8a-12:30 TR vivi GRCC</t>
        </is>
      </c>
      <c r="K15" s="48" t="n">
        <v>4.5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343" t="n"/>
      <c r="S15" s="344" t="n"/>
      <c r="T15" s="344" t="n"/>
      <c r="U15" s="345" t="n"/>
    </row>
    <row r="16" ht="19" customHeight="1">
      <c r="A16" s="101" t="inlineStr">
        <is>
          <t>Arfa</t>
        </is>
      </c>
      <c r="B16" s="301" t="n"/>
      <c r="C16" s="314" t="n"/>
      <c r="D16" s="329" t="inlineStr">
        <is>
          <t>TR w Kaviya 8a-1p</t>
        </is>
      </c>
      <c r="E16" s="314" t="n">
        <v>5</v>
      </c>
      <c r="F16" s="329" t="inlineStr">
        <is>
          <t>TR w Kaviya 8a-1p</t>
        </is>
      </c>
      <c r="G16" s="314" t="n">
        <v>5</v>
      </c>
      <c r="H16" s="301" t="inlineStr">
        <is>
          <t>8a-6p f6</t>
        </is>
      </c>
      <c r="I16" s="314" t="n">
        <v>9.5</v>
      </c>
      <c r="J16" s="18" t="inlineStr">
        <is>
          <t>4p-7p f6</t>
        </is>
      </c>
      <c r="K16" s="48" t="n">
        <v>3</v>
      </c>
      <c r="L16" s="69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" customHeight="1">
      <c r="A17" s="128" t="inlineStr">
        <is>
          <t>Itohan</t>
        </is>
      </c>
      <c r="B17" s="69" t="n"/>
      <c r="C17" s="18" t="n"/>
      <c r="D17" s="50" t="inlineStr">
        <is>
          <t>VAC</t>
        </is>
      </c>
      <c r="E17" s="18" t="n"/>
      <c r="F17" s="303" t="inlineStr">
        <is>
          <t>VAC</t>
        </is>
      </c>
      <c r="G17" s="18" t="n"/>
      <c r="H17" s="303" t="inlineStr">
        <is>
          <t>VAC</t>
        </is>
      </c>
      <c r="I17" s="18" t="n"/>
      <c r="J17" s="50" t="inlineStr">
        <is>
          <t>VAC</t>
        </is>
      </c>
      <c r="K17" s="18" t="n"/>
      <c r="L17" s="303" t="inlineStr">
        <is>
          <t>VAC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25" customHeight="1">
      <c r="A18" s="128" t="inlineStr">
        <is>
          <t>Daria  (temp) 24 hrs</t>
        </is>
      </c>
      <c r="B18" s="326" t="inlineStr">
        <is>
          <t>w fran 80 Bloor 10a-3p</t>
        </is>
      </c>
      <c r="C18" s="314" t="n">
        <v>5</v>
      </c>
      <c r="D18" s="329" t="inlineStr">
        <is>
          <t>9a-6p CC  GR/ 6-7CC f2</t>
        </is>
      </c>
      <c r="E18" s="314" t="n">
        <v>9.5</v>
      </c>
      <c r="F18" s="301" t="inlineStr">
        <is>
          <t>Wfran 9a-5</t>
        </is>
      </c>
      <c r="G18" s="314" t="n">
        <v>7.5</v>
      </c>
      <c r="H18" s="69" t="n"/>
      <c r="I18" s="314" t="n"/>
      <c r="J18" s="326" t="inlineStr">
        <is>
          <t>RO</t>
        </is>
      </c>
      <c r="K18" s="314" t="n"/>
      <c r="L18" s="45" t="inlineStr">
        <is>
          <t>RO</t>
        </is>
      </c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5" customHeight="1">
      <c r="A19" s="128" t="inlineStr">
        <is>
          <t>Chinnesha (temp) 24 hrs</t>
        </is>
      </c>
      <c r="B19" s="329" t="inlineStr">
        <is>
          <t>9a-6p CC  GR/ 6-7CC f6</t>
        </is>
      </c>
      <c r="C19" s="314" t="n">
        <v>9.5</v>
      </c>
      <c r="D19" s="329" t="n"/>
      <c r="E19" s="314" t="n"/>
      <c r="F19" s="332" t="inlineStr">
        <is>
          <t>8a-3:30p f2</t>
        </is>
      </c>
      <c r="G19" s="314" t="n">
        <v>7</v>
      </c>
      <c r="H19" s="243" t="n"/>
      <c r="I19" s="314" t="n"/>
      <c r="J19" s="329" t="inlineStr">
        <is>
          <t>11a-11:30a f6/ 11:30-7 GR CC B@2:30</t>
        </is>
      </c>
      <c r="K19" s="314" t="n">
        <v>7.5</v>
      </c>
      <c r="L19" s="69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128" t="inlineStr">
        <is>
          <t>Iqra</t>
        </is>
      </c>
      <c r="B20" s="45" t="n"/>
      <c r="C20" s="48" t="n"/>
      <c r="D20" s="45" t="n"/>
      <c r="E20" s="48" t="n"/>
      <c r="F20" s="45" t="inlineStr">
        <is>
          <t>8a-6 GROUND</t>
        </is>
      </c>
      <c r="G20" s="48" t="n">
        <v>9.5</v>
      </c>
      <c r="H20" s="45" t="n"/>
      <c r="I20" s="48" t="n"/>
      <c r="J20" s="332" t="n"/>
      <c r="K20" s="14" t="n"/>
      <c r="L20" s="301" t="n"/>
      <c r="M20" s="48" t="n"/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6.75" customHeight="1">
      <c r="A21" s="45" t="inlineStr">
        <is>
          <t>New Intern- Levi 1</t>
        </is>
      </c>
      <c r="B21" s="82" t="n"/>
      <c r="C21" s="18" t="n"/>
      <c r="D21" s="82" t="n"/>
      <c r="E21" s="18" t="n"/>
      <c r="F21" s="82" t="inlineStr">
        <is>
          <t>11a-12 w fran/ 12-5:30 w Pablo</t>
        </is>
      </c>
      <c r="G21" s="18" t="n">
        <v>6</v>
      </c>
      <c r="H21" s="333" t="inlineStr">
        <is>
          <t>3p-8p w Pablo/ events &amp; closing</t>
        </is>
      </c>
      <c r="I21" s="18" t="n">
        <v>5</v>
      </c>
      <c r="J21" s="325" t="inlineStr">
        <is>
          <t>10a-2p campus reset w Pablo</t>
        </is>
      </c>
      <c r="K21" s="314" t="n">
        <v>4</v>
      </c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32" customHeight="1">
      <c r="A22" s="45" t="inlineStr">
        <is>
          <t>New Intern - Himanshu 1</t>
        </is>
      </c>
      <c r="B22" s="82" t="n"/>
      <c r="C22" s="18" t="n"/>
      <c r="D22" s="82" t="n"/>
      <c r="E22" s="18" t="n"/>
      <c r="F22" s="143" t="inlineStr">
        <is>
          <t>10a-11a w Fran/ 11a-4:30 w Nabeela</t>
        </is>
      </c>
      <c r="G22" s="18" t="n">
        <v>6</v>
      </c>
      <c r="H22" s="85" t="inlineStr">
        <is>
          <t>8a-1p w Nabeela/ events</t>
        </is>
      </c>
      <c r="I22" s="18" t="n">
        <v>5</v>
      </c>
      <c r="J22" s="334" t="inlineStr">
        <is>
          <t>10a-2p campus reset w Pablo</t>
        </is>
      </c>
      <c r="K22" s="314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 ht="16" customHeight="1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6" customHeight="1" thickBot="1">
      <c r="A26" s="264" t="inlineStr">
        <is>
          <t>Shifts  Will Vary based on class schedule, business demand, Availability &amp; RO's</t>
        </is>
      </c>
      <c r="B26" s="264" t="n"/>
      <c r="C26" s="439" t="n"/>
      <c r="D26" s="121" t="n"/>
    </row>
    <row r="27" ht="20" customHeight="1" thickBot="1">
      <c r="A27" s="145" t="inlineStr">
        <is>
          <t>AVAILABILITIES</t>
        </is>
      </c>
      <c r="D27" s="424" t="inlineStr">
        <is>
          <t>7-week Internship Up-to 15 hrs/ wk</t>
        </is>
      </c>
      <c r="E27" s="440" t="n"/>
      <c r="F27" s="440" t="n"/>
      <c r="G27" s="440" t="n"/>
      <c r="H27" s="440" t="n"/>
      <c r="I27" s="440" t="n"/>
      <c r="J27" s="441" t="n"/>
    </row>
    <row r="28" ht="19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20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20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20" customHeight="1" thickBot="1">
      <c r="A31" s="149" t="inlineStr">
        <is>
          <t>After 3:30pm</t>
        </is>
      </c>
      <c r="D31" s="424" t="inlineStr">
        <is>
          <t>Fast Track internship 5-weeks Up-to 21-Hours per week</t>
        </is>
      </c>
      <c r="E31" s="440" t="n"/>
      <c r="F31" s="440" t="n"/>
      <c r="G31" s="440" t="n"/>
      <c r="H31" s="440" t="n"/>
      <c r="I31" s="440" t="n"/>
      <c r="J31" s="441" t="n"/>
    </row>
    <row r="32" ht="19" customHeight="1">
      <c r="A32" s="150" t="inlineStr">
        <is>
          <t>12-3p</t>
        </is>
      </c>
      <c r="D32" s="442" t="inlineStr">
        <is>
          <t>first 30 hours Intro w elevator + support open/CL</t>
        </is>
      </c>
      <c r="J32" s="443" t="n"/>
    </row>
    <row r="33" ht="19" customHeight="1">
      <c r="A33" s="151" t="inlineStr">
        <is>
          <t>after 12 - eod</t>
        </is>
      </c>
      <c r="D33" s="442" t="inlineStr">
        <is>
          <t>2nd 30 hours DESK</t>
        </is>
      </c>
      <c r="J33" s="443" t="n"/>
      <c r="T33" t="inlineStr">
        <is>
          <t xml:space="preserve"> </t>
        </is>
      </c>
    </row>
    <row r="34" ht="19" customHeight="1">
      <c r="A34" s="152" t="inlineStr">
        <is>
          <t>Before 12 and after 3:30</t>
        </is>
      </c>
      <c r="D34" s="442" t="inlineStr">
        <is>
          <t>15 hours Call Centre</t>
        </is>
      </c>
      <c r="J34" s="443" t="n"/>
    </row>
    <row r="35" ht="16" customHeight="1" thickBot="1">
      <c r="D35" s="444" t="inlineStr">
        <is>
          <t>30 hours Management</t>
        </is>
      </c>
      <c r="E35" s="445" t="n"/>
      <c r="F35" s="445" t="n"/>
      <c r="G35" s="445" t="n"/>
      <c r="H35" s="445" t="n"/>
      <c r="I35" s="445" t="n"/>
      <c r="J35" s="446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zoomScale="70" zoomScaleNormal="70" workbookViewId="0">
      <selection activeCell="I20" sqref="I20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1.1640625" bestFit="1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46132</v>
      </c>
      <c r="C2" s="6" t="n"/>
      <c r="D2" s="5" t="n">
        <v>46133</v>
      </c>
      <c r="E2" s="6" t="n"/>
      <c r="F2" s="5" t="n">
        <v>46134</v>
      </c>
      <c r="G2" s="6" t="n"/>
      <c r="H2" s="5" t="n">
        <v>46135</v>
      </c>
      <c r="I2" s="6" t="n"/>
      <c r="J2" s="5" t="n">
        <v>46136</v>
      </c>
      <c r="K2" s="6" t="n"/>
      <c r="L2" s="5" t="n">
        <v>46137</v>
      </c>
      <c r="M2" s="6" t="n"/>
      <c r="N2" s="5" t="n">
        <v>46138</v>
      </c>
      <c r="O2" s="7" t="n"/>
      <c r="P2" s="3" t="n"/>
    </row>
    <row r="3" ht="93.5" customHeight="1">
      <c r="A3" s="8" t="inlineStr">
        <is>
          <t>EVENTS</t>
        </is>
      </c>
      <c r="B3" s="62" t="inlineStr">
        <is>
          <t xml:space="preserve">Graduate photos 608/ McGraw Hill 6B 9a-11a / HRPA Ground 11a-1p +2A </t>
        </is>
      </c>
      <c r="C3" s="10" t="n"/>
      <c r="D3" s="62" t="inlineStr">
        <is>
          <t xml:space="preserve">Graduate photos 608 / LAST DAY OF CLASSES </t>
        </is>
      </c>
      <c r="E3" s="10" t="n"/>
      <c r="F3" s="62" t="inlineStr">
        <is>
          <t>Reading week / Registrations/6A 9a-10a AACSB president/  6A Chris 2-3:30p VIP</t>
        </is>
      </c>
      <c r="G3" s="11" t="n"/>
      <c r="H3" s="62" t="inlineStr">
        <is>
          <t>Graduate photos 608  / Chris-TDSB MR6-B 9a-1p/ Registrations</t>
        </is>
      </c>
      <c r="I3" s="10" t="n"/>
      <c r="J3" s="62" t="inlineStr">
        <is>
          <t>Graduate photos 608 / Reading week / Registrations</t>
        </is>
      </c>
      <c r="K3" s="10" t="n"/>
      <c r="L3" s="62" t="inlineStr">
        <is>
          <t xml:space="preserve">Graduate photos 608 / Reading week / 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Lieu used</t>
        </is>
      </c>
      <c r="C4" s="18" t="n">
        <v>8</v>
      </c>
      <c r="D4" s="18" t="inlineStr">
        <is>
          <t>8a-9p cobs/9-4:30</t>
        </is>
      </c>
      <c r="E4" s="18" t="n">
        <v>8.5</v>
      </c>
      <c r="F4" s="18" t="inlineStr">
        <is>
          <t>9a-6:30</t>
        </is>
      </c>
      <c r="G4" s="18" t="n">
        <v>9.5</v>
      </c>
      <c r="H4" s="18" t="inlineStr">
        <is>
          <t>9a-8:30p</t>
        </is>
      </c>
      <c r="I4" s="18" t="n">
        <v>11.5</v>
      </c>
      <c r="J4" s="18" t="inlineStr">
        <is>
          <t>9a-5 offsite</t>
        </is>
      </c>
      <c r="K4" s="18" t="n">
        <v>8</v>
      </c>
      <c r="L4" s="289" t="n"/>
      <c r="M4" s="18" t="n"/>
      <c r="N4" s="18" t="n"/>
      <c r="O4" s="18" t="n"/>
      <c r="P4" s="322">
        <f>SUM(O4,M4,K4,I4,G4,E4,C4)</f>
        <v/>
      </c>
    </row>
    <row r="5" ht="32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wfh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9a-5pm (CC TR 10a-2:30p)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32" customHeight="1">
      <c r="A6" s="163" t="inlineStr">
        <is>
          <t>Pablo</t>
        </is>
      </c>
      <c r="B6" s="50" t="inlineStr">
        <is>
          <t>8a-4 EVENTS</t>
        </is>
      </c>
      <c r="C6" s="48" t="n">
        <v>7.5</v>
      </c>
      <c r="D6" s="45" t="inlineStr">
        <is>
          <t>2-2:30 GR/2:30-7:30 f2/ CL B@3:30</t>
        </is>
      </c>
      <c r="E6" s="48" t="n">
        <v>5</v>
      </c>
      <c r="F6" s="45" t="inlineStr">
        <is>
          <t>7:30a-12p GR/ 12-12:30 f2</t>
        </is>
      </c>
      <c r="G6" s="48" t="n">
        <v>5</v>
      </c>
      <c r="H6" s="45" t="inlineStr">
        <is>
          <t>8a-3p f6 + help w event</t>
        </is>
      </c>
      <c r="I6" s="48" t="n">
        <v>6.5</v>
      </c>
      <c r="J6" s="45" t="n"/>
      <c r="K6" s="48" t="n"/>
      <c r="L6" s="45" t="n"/>
      <c r="M6" s="48" t="n"/>
      <c r="N6" s="45" t="n"/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56" t="inlineStr">
        <is>
          <t>7:45a-4:15pm f6 CC</t>
        </is>
      </c>
      <c r="C7" s="48" t="n">
        <v>8</v>
      </c>
      <c r="D7" s="56" t="inlineStr">
        <is>
          <t>7:45a-3:15pm f6 CC/ 3:15-4:15 f2CC</t>
        </is>
      </c>
      <c r="E7" s="48" t="n">
        <v>8</v>
      </c>
      <c r="F7" s="56" t="inlineStr">
        <is>
          <t>7:45a-4:15pm f6 CC</t>
        </is>
      </c>
      <c r="G7" s="48" t="n">
        <v>8</v>
      </c>
      <c r="H7" s="45" t="n"/>
      <c r="I7" s="48" t="n"/>
      <c r="J7" s="56" t="n"/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48" t="inlineStr">
        <is>
          <t>8a-3 f2</t>
        </is>
      </c>
      <c r="C8" s="48" t="n">
        <v>6.5</v>
      </c>
      <c r="D8" s="298" t="inlineStr">
        <is>
          <t>8a-3p f2</t>
        </is>
      </c>
      <c r="E8" s="48" t="n">
        <v>6.5</v>
      </c>
      <c r="F8" s="48" t="inlineStr">
        <is>
          <t>8a-2:30 f2</t>
        </is>
      </c>
      <c r="G8" s="48" t="n">
        <v>6</v>
      </c>
      <c r="H8" s="48" t="inlineStr">
        <is>
          <t>ro</t>
        </is>
      </c>
      <c r="I8" s="48" t="n"/>
      <c r="J8" s="45" t="inlineStr">
        <is>
          <t>8a-12:30 f2</t>
        </is>
      </c>
      <c r="K8" s="48" t="n">
        <v>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>Sagar C</t>
        </is>
      </c>
      <c r="B9" s="45" t="inlineStr">
        <is>
          <t>7:30a-12p GR</t>
        </is>
      </c>
      <c r="C9" s="48" t="n">
        <v>4.5</v>
      </c>
      <c r="D9" s="45" t="inlineStr">
        <is>
          <t>7:30a-12p GR</t>
        </is>
      </c>
      <c r="E9" s="48" t="n">
        <v>4.5</v>
      </c>
      <c r="F9" s="45" t="n"/>
      <c r="G9" s="48" t="n"/>
      <c r="H9" s="45" t="inlineStr">
        <is>
          <t>7:30a-12p GR</t>
        </is>
      </c>
      <c r="I9" s="48" t="n">
        <v>4.5</v>
      </c>
      <c r="J9" s="45" t="inlineStr">
        <is>
          <t>7:30a-12:30p GR/ 12:30-1 f2/ 1-1:30GR</t>
        </is>
      </c>
      <c r="K9" s="48" t="n">
        <v>5.5</v>
      </c>
      <c r="L9" s="45" t="inlineStr">
        <is>
          <t>7:30a-12p GR/ 12-12:30 f2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45" t="inlineStr">
        <is>
          <t>Mickaela  C</t>
        </is>
      </c>
      <c r="B10" s="56" t="inlineStr">
        <is>
          <t>9a-7p f6CC</t>
        </is>
      </c>
      <c r="C10" s="48" t="n">
        <v>9.5</v>
      </c>
      <c r="D10" s="56" t="n"/>
      <c r="E10" s="48" t="n"/>
      <c r="F10" s="56" t="inlineStr">
        <is>
          <t>11a-7p f6CC</t>
        </is>
      </c>
      <c r="G10" s="48" t="n">
        <v>7.5</v>
      </c>
      <c r="H10" s="48" t="n"/>
      <c r="I10" s="48" t="n"/>
      <c r="J10" s="45" t="inlineStr">
        <is>
          <t>12:30p-6p GR B@1</t>
        </is>
      </c>
      <c r="K10" s="48" t="n">
        <v>5.5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 xml:space="preserve">Viviana </t>
        </is>
      </c>
      <c r="B11" s="45" t="inlineStr">
        <is>
          <t>2-2:30 GR/2:30-7:30 f2/ CLB@3:30</t>
        </is>
      </c>
      <c r="C11" s="48" t="n">
        <v>5</v>
      </c>
      <c r="D11" s="45" t="n"/>
      <c r="E11" s="48" t="n"/>
      <c r="F11" s="50" t="inlineStr">
        <is>
          <t>8a-1p events</t>
        </is>
      </c>
      <c r="G11" s="48" t="n">
        <v>5</v>
      </c>
      <c r="H11" s="45" t="inlineStr">
        <is>
          <t>2:30-3 GR/3-7:30 f2/ CL</t>
        </is>
      </c>
      <c r="I11" s="48" t="n">
        <v>5</v>
      </c>
      <c r="J11" s="85" t="n"/>
      <c r="K11" s="48" t="n"/>
      <c r="L11" s="56" t="inlineStr">
        <is>
          <t>8a-4p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60" t="inlineStr">
        <is>
          <t xml:space="preserve">Anastasia </t>
        </is>
      </c>
      <c r="B12" s="50" t="n"/>
      <c r="C12" s="48" t="n"/>
      <c r="D12" s="60" t="n"/>
      <c r="E12" s="48" t="n"/>
      <c r="F12" s="318" t="n"/>
      <c r="G12" s="48" t="n"/>
      <c r="H12" s="60" t="inlineStr">
        <is>
          <t>8a-4p f2CC</t>
        </is>
      </c>
      <c r="I12" s="48" t="n">
        <v>7.5</v>
      </c>
      <c r="J12" s="56" t="inlineStr">
        <is>
          <t>8a-4pm f6 CC</t>
        </is>
      </c>
      <c r="K12" s="48" t="n">
        <v>7.5</v>
      </c>
      <c r="L12" s="56" t="inlineStr">
        <is>
          <t>11a-7p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TR w Kavya 8a-4pm f6CC</t>
        </is>
      </c>
      <c r="G13" s="18" t="n">
        <v>7.5</v>
      </c>
      <c r="H13" s="157" t="inlineStr">
        <is>
          <t>12p-6p GROUND CC/ 6-7 f2CC  B@2:30</t>
        </is>
      </c>
      <c r="I13" s="48" t="n">
        <v>6.5</v>
      </c>
      <c r="J13" s="319" t="inlineStr">
        <is>
          <t>9a-10a Validation/ 10a-1:30 CC f2</t>
        </is>
      </c>
      <c r="K13" s="48" t="n">
        <v>4.5</v>
      </c>
      <c r="L13" s="45" t="inlineStr">
        <is>
          <t>12p-6p GR B@2:30</t>
        </is>
      </c>
      <c r="M13" s="48" t="n">
        <v>5.5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TR w Kavya 8a-3:30pm f6CC</t>
        </is>
      </c>
      <c r="E14" s="18" t="n">
        <v>7</v>
      </c>
      <c r="F14" s="85" t="n"/>
      <c r="G14" s="48" t="n"/>
      <c r="H14" s="321" t="inlineStr">
        <is>
          <t>CC 9a-2p TRCC f6</t>
        </is>
      </c>
      <c r="I14" s="48" t="n">
        <v>5</v>
      </c>
      <c r="J14" s="266" t="inlineStr">
        <is>
          <t>CC TR w Aashima 10a-2:30p</t>
        </is>
      </c>
      <c r="K14" s="48" t="n">
        <v>4.5</v>
      </c>
      <c r="L14" s="26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01" t="inlineStr">
        <is>
          <t>Priyanka</t>
        </is>
      </c>
      <c r="B15" s="101" t="n"/>
      <c r="C15" s="18" t="n"/>
      <c r="D15" s="101" t="n"/>
      <c r="E15" s="18" t="n"/>
      <c r="F15" s="85" t="n"/>
      <c r="G15" s="48" t="n"/>
      <c r="H15" s="85" t="n"/>
      <c r="I15" s="48" t="n"/>
      <c r="J15" s="266" t="inlineStr">
        <is>
          <t>CC TR w Aashima 10a-2:30p</t>
        </is>
      </c>
      <c r="K15" s="48" t="n">
        <v>4.5</v>
      </c>
      <c r="L15" s="266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3" customHeight="1">
      <c r="A16" s="101" t="inlineStr">
        <is>
          <t>Arfa</t>
        </is>
      </c>
      <c r="B16" s="101" t="n"/>
      <c r="C16" s="18" t="n"/>
      <c r="D16" s="101" t="n"/>
      <c r="E16" s="18" t="n"/>
      <c r="F16" s="85" t="n"/>
      <c r="G16" s="48" t="n"/>
      <c r="H16" s="85" t="n"/>
      <c r="I16" s="48" t="n"/>
      <c r="J16" s="266" t="inlineStr">
        <is>
          <t>CC TR w Aashima 10a-2:30p</t>
        </is>
      </c>
      <c r="K16" s="48" t="n">
        <v>4.5</v>
      </c>
      <c r="L16" s="266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2" customHeight="1">
      <c r="A17" s="128" t="inlineStr">
        <is>
          <t xml:space="preserve">Daria  </t>
        </is>
      </c>
      <c r="B17" s="45" t="n"/>
      <c r="C17" s="48" t="n"/>
      <c r="D17" s="60" t="n"/>
      <c r="E17" s="48" t="n"/>
      <c r="F17" s="45" t="inlineStr">
        <is>
          <t>2-2:30 GR/2:30-7:30 f2/ CLB@3:30</t>
        </is>
      </c>
      <c r="G17" s="48" t="n">
        <v>5</v>
      </c>
      <c r="H17" s="50" t="inlineStr">
        <is>
          <t>8a-2p EVENTS</t>
        </is>
      </c>
      <c r="I17" s="48" t="n">
        <v>5.5</v>
      </c>
      <c r="J17" s="45" t="inlineStr">
        <is>
          <t>1:30-7:30 f2/ CL</t>
        </is>
      </c>
      <c r="K17" s="48" t="n">
        <v>5.5</v>
      </c>
      <c r="L17" s="45" t="inlineStr">
        <is>
          <t>2:30-3 GR/3-7:30 f2/ CL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128" t="inlineStr">
        <is>
          <t xml:space="preserve">Chinnesha </t>
        </is>
      </c>
      <c r="B18" s="60" t="n"/>
      <c r="C18" s="48" t="n"/>
      <c r="D18" s="56" t="inlineStr">
        <is>
          <t>9:30a-7p f6CC</t>
        </is>
      </c>
      <c r="E18" s="48" t="n">
        <v>9</v>
      </c>
      <c r="F18" s="318" t="n"/>
      <c r="G18" s="48" t="n"/>
      <c r="H18" s="56" t="inlineStr">
        <is>
          <t>9a-5p F6 CC</t>
        </is>
      </c>
      <c r="I18" s="48" t="n">
        <v>7.5</v>
      </c>
      <c r="J18" s="56" t="inlineStr">
        <is>
          <t>11a-7p f6CC</t>
        </is>
      </c>
      <c r="K18" s="48" t="n">
        <v>7.5</v>
      </c>
      <c r="L18" s="273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Iqra</t>
        </is>
      </c>
      <c r="B19" s="45" t="inlineStr">
        <is>
          <t>12p-6p GR B@2</t>
        </is>
      </c>
      <c r="C19" s="48" t="n">
        <v>5.5</v>
      </c>
      <c r="D19" s="45" t="inlineStr">
        <is>
          <t>12p-6p GR B@2</t>
        </is>
      </c>
      <c r="E19" s="48" t="n">
        <v>5.5</v>
      </c>
      <c r="F19" s="45" t="inlineStr">
        <is>
          <t>12p-6p GR B@2</t>
        </is>
      </c>
      <c r="G19" s="48" t="n">
        <v>5.5</v>
      </c>
      <c r="H19" s="45" t="n"/>
      <c r="I19" s="48" t="n"/>
      <c r="J19" s="45" t="inlineStr">
        <is>
          <t>RO</t>
        </is>
      </c>
      <c r="K19" s="4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7.5" customHeight="1">
      <c r="A20" s="45" t="inlineStr">
        <is>
          <t>Itohan 7</t>
        </is>
      </c>
      <c r="B20" s="69" t="n"/>
      <c r="C20" s="18" t="n"/>
      <c r="D20" s="50" t="inlineStr">
        <is>
          <t>9a-2:30 w fran/ B@2:30/ 3-4 w fran</t>
        </is>
      </c>
      <c r="E20" s="18" t="n">
        <v>6.5</v>
      </c>
      <c r="F20" s="303" t="n"/>
      <c r="G20" s="18" t="n"/>
      <c r="H20" s="303" t="n"/>
      <c r="I20" s="18" t="n"/>
      <c r="J20" s="101" t="inlineStr">
        <is>
          <t>8a-9:30 f2/ 9:30a-2:30 CC TR/ 2:30-4 help-setup</t>
        </is>
      </c>
      <c r="K20" s="18" t="n">
        <v>7.5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2" customHeight="1">
      <c r="A21" s="45" t="inlineStr">
        <is>
          <t>Faezah 7</t>
        </is>
      </c>
      <c r="B21" s="50" t="n"/>
      <c r="C21" s="48" t="n"/>
      <c r="D21" s="305" t="n"/>
      <c r="E21" s="18" t="n"/>
      <c r="F21" s="306" t="inlineStr">
        <is>
          <t>8a-9 w event/ 9a-5p w fran</t>
        </is>
      </c>
      <c r="G21" s="18" t="n">
        <v>8.5</v>
      </c>
      <c r="H21" s="306" t="inlineStr">
        <is>
          <t>8a-10a w Pablo/ 10a-3 w fran</t>
        </is>
      </c>
      <c r="I21" s="18" t="n">
        <v>6.5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47">
        <f>SUM(M23,K23,I23,G23,E23,C23)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48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9" t="n"/>
      <c r="Q26">
        <f>P22*20</f>
        <v/>
      </c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48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9" t="n"/>
    </row>
    <row r="31" ht="19" customHeight="1">
      <c r="A31" s="150" t="inlineStr">
        <is>
          <t>12-3p</t>
        </is>
      </c>
      <c r="D31" s="450" t="inlineStr">
        <is>
          <t>first 30 hours Intro w elevator + support open/CL</t>
        </is>
      </c>
      <c r="E31" s="451" t="n"/>
      <c r="F31" s="451" t="n"/>
      <c r="G31" s="451" t="n"/>
      <c r="H31" s="451" t="n"/>
      <c r="I31" s="451" t="n"/>
      <c r="J31" s="452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 xml:space="preserve"> </t>
        </is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6" customHeight="1" thickBot="1">
      <c r="D36" s="444" t="inlineStr">
        <is>
          <t>30 hours Management</t>
        </is>
      </c>
      <c r="E36" s="445" t="n"/>
      <c r="F36" s="445" t="n"/>
      <c r="G36" s="445" t="n"/>
      <c r="H36" s="445" t="n"/>
      <c r="I36" s="445" t="n"/>
      <c r="J36" s="446" t="n"/>
    </row>
  </sheetData>
  <mergeCells count="7">
    <mergeCell ref="D31:J31"/>
    <mergeCell ref="D32:J32"/>
    <mergeCell ref="D36:J36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J13" sqref="J13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1.1640625" bestFit="1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46125</v>
      </c>
      <c r="C2" s="6" t="n"/>
      <c r="D2" s="5" t="n">
        <v>46126</v>
      </c>
      <c r="E2" s="6" t="n"/>
      <c r="F2" s="5" t="n">
        <v>46127</v>
      </c>
      <c r="G2" s="6" t="n"/>
      <c r="H2" s="5" t="n">
        <v>46128</v>
      </c>
      <c r="I2" s="6" t="n"/>
      <c r="J2" s="5" t="n">
        <v>46129</v>
      </c>
      <c r="K2" s="6" t="n"/>
      <c r="L2" s="5" t="n">
        <v>46130</v>
      </c>
      <c r="M2" s="6" t="n"/>
      <c r="N2" s="5" t="n">
        <v>46131</v>
      </c>
      <c r="O2" s="7" t="n"/>
      <c r="P2" s="3" t="n"/>
    </row>
    <row r="3" ht="77.5" customHeight="1">
      <c r="A3" s="8" t="inlineStr">
        <is>
          <t>EVENTS</t>
        </is>
      </c>
      <c r="B3" s="111" t="inlineStr">
        <is>
          <t>Student Initiated event - TBD?/ Meeting scotia- 11:30to12:302A(coffee setup)</t>
        </is>
      </c>
      <c r="C3" s="10" t="n"/>
      <c r="D3" s="161" t="inlineStr">
        <is>
          <t>NETWORK W THE BEST- DONNY Check: Room 604 -37/Room 601-  33/Room 609 -38/Room 205-35 / Entrpreneurship CC F2</t>
        </is>
      </c>
      <c r="E3" s="10" t="n"/>
      <c r="F3" s="9" t="inlineStr">
        <is>
          <t>faculty Meeting 10am- 11:30am rm 211</t>
        </is>
      </c>
      <c r="G3" s="11" t="n"/>
      <c r="H3" s="12" t="inlineStr">
        <is>
          <t>CAPSTONE COMPETITION FLOOR 2</t>
        </is>
      </c>
      <c r="I3" s="10" t="n"/>
      <c r="J3" s="12" t="inlineStr">
        <is>
          <t>BUSINESS CONSULTANCY COMPETITION Floor 2 / JuanCa LAST DAY</t>
        </is>
      </c>
      <c r="K3" s="10" t="n"/>
      <c r="L3" s="62" t="inlineStr">
        <is>
          <t>GROUND 12-3p STUDENT JAM SESSION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9a-10 COBS/ 10a-7p</t>
        </is>
      </c>
      <c r="C4" s="18" t="n">
        <v>10</v>
      </c>
      <c r="D4" s="18" t="inlineStr">
        <is>
          <t>11a-7p</t>
        </is>
      </c>
      <c r="E4" s="18" t="n">
        <v>8</v>
      </c>
      <c r="F4" s="18" t="inlineStr">
        <is>
          <t>9:30a-8:30p</t>
        </is>
      </c>
      <c r="G4" s="18" t="n">
        <v>11</v>
      </c>
      <c r="H4" s="18" t="inlineStr">
        <is>
          <t>10a-9</t>
        </is>
      </c>
      <c r="I4" s="18" t="n">
        <v>11</v>
      </c>
      <c r="J4" s="18" t="inlineStr">
        <is>
          <t>3hrs wfh</t>
        </is>
      </c>
      <c r="K4" s="18" t="n">
        <v>3</v>
      </c>
      <c r="L4" s="289" t="n"/>
      <c r="M4" s="18" t="n"/>
      <c r="N4" s="18" t="n"/>
      <c r="O4" s="18" t="n"/>
      <c r="P4" s="322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8:30a-4p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32" customHeight="1">
      <c r="A6" s="163" t="inlineStr">
        <is>
          <t>Pablo</t>
        </is>
      </c>
      <c r="B6" s="50" t="inlineStr">
        <is>
          <t>12-3 events/setup /3p-7:30p f2/closing</t>
        </is>
      </c>
      <c r="C6" s="48" t="n">
        <v>7</v>
      </c>
      <c r="D6" s="50" t="inlineStr">
        <is>
          <t>8a-3p Events/ 3-4 f2/ 4-6 set-up</t>
        </is>
      </c>
      <c r="E6" s="48" t="n">
        <v>9.5</v>
      </c>
      <c r="F6" s="135" t="inlineStr">
        <is>
          <t>RO</t>
        </is>
      </c>
      <c r="G6" s="48" t="n"/>
      <c r="H6" s="298" t="inlineStr">
        <is>
          <t>RO</t>
        </is>
      </c>
      <c r="I6" s="48" t="n"/>
      <c r="J6" s="45" t="inlineStr">
        <is>
          <t>8a-4p f2</t>
        </is>
      </c>
      <c r="K6" s="48" t="n">
        <v>7.5</v>
      </c>
      <c r="L6" s="60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32" customHeight="1">
      <c r="A7" s="163" t="inlineStr">
        <is>
          <t>Kavya C</t>
        </is>
      </c>
      <c r="B7" s="56" t="inlineStr">
        <is>
          <t>8a-4pm f6 CC</t>
        </is>
      </c>
      <c r="C7" s="48" t="n">
        <v>7.5</v>
      </c>
      <c r="D7" s="56" t="inlineStr">
        <is>
          <t>8a-4:30pm f6 CC</t>
        </is>
      </c>
      <c r="E7" s="48" t="n">
        <v>8</v>
      </c>
      <c r="F7" s="133" t="inlineStr">
        <is>
          <t>7:45a-12p f6 CC/ 3:30-4:15p f6CC</t>
        </is>
      </c>
      <c r="G7" s="48" t="n">
        <v>5</v>
      </c>
      <c r="H7" s="48" t="inlineStr">
        <is>
          <t>7:45a-3:15p f2</t>
        </is>
      </c>
      <c r="I7" s="48" t="n">
        <v>7</v>
      </c>
      <c r="J7" s="56" t="inlineStr">
        <is>
          <t>3p-7p f6CC</t>
        </is>
      </c>
      <c r="K7" s="48" t="n">
        <v>4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 C</t>
        </is>
      </c>
      <c r="B8" s="48" t="inlineStr">
        <is>
          <t>8a-4pm f2  B@12</t>
        </is>
      </c>
      <c r="C8" s="48" t="n">
        <v>7.5</v>
      </c>
      <c r="D8" s="298" t="inlineStr">
        <is>
          <t>8a-3p f2 B@12</t>
        </is>
      </c>
      <c r="E8" s="48" t="n">
        <v>6.5</v>
      </c>
      <c r="F8" s="48" t="inlineStr">
        <is>
          <t>8a-5pm f2  B@12</t>
        </is>
      </c>
      <c r="G8" s="48" t="n">
        <v>8.5</v>
      </c>
      <c r="H8" s="38" t="n"/>
      <c r="I8" s="48" t="n"/>
      <c r="J8" s="135" t="inlineStr">
        <is>
          <t>7:30a-2p ground</t>
        </is>
      </c>
      <c r="K8" s="48" t="n">
        <v>5.5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8" customHeight="1">
      <c r="A9" s="128" t="inlineStr">
        <is>
          <t>Sagar C</t>
        </is>
      </c>
      <c r="B9" s="48" t="inlineStr">
        <is>
          <t>RO</t>
        </is>
      </c>
      <c r="C9" s="48" t="n"/>
      <c r="D9" s="48" t="n"/>
      <c r="E9" s="48" t="n"/>
      <c r="F9" s="240" t="inlineStr">
        <is>
          <t>8:30a-6p EVENT+PREP</t>
        </is>
      </c>
      <c r="G9" s="48" t="n">
        <v>9</v>
      </c>
      <c r="H9" s="48" t="inlineStr">
        <is>
          <t>7:30a-3:30 GROUND</t>
        </is>
      </c>
      <c r="I9" s="48" t="n">
        <v>7.5</v>
      </c>
      <c r="J9" s="36" t="inlineStr">
        <is>
          <t>8a-12pf2</t>
        </is>
      </c>
      <c r="K9" s="48" t="n">
        <v>4</v>
      </c>
      <c r="L9" s="45" t="inlineStr">
        <is>
          <t>12p-6pGR/ 6-7:30p f2/closing B@3</t>
        </is>
      </c>
      <c r="M9" s="48" t="n">
        <v>5.5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45" t="inlineStr">
        <is>
          <t>Mickaela  C</t>
        </is>
      </c>
      <c r="B10" s="48" t="inlineStr">
        <is>
          <t>7:30a-12p Ground/ 12-12:30f2</t>
        </is>
      </c>
      <c r="C10" s="48" t="n">
        <v>5</v>
      </c>
      <c r="D10" s="60" t="inlineStr">
        <is>
          <t xml:space="preserve"> </t>
        </is>
      </c>
      <c r="E10" s="48" t="n"/>
      <c r="F10" s="45" t="inlineStr">
        <is>
          <t>8a-5p f6</t>
        </is>
      </c>
      <c r="G10" s="48" t="n">
        <v>8.5</v>
      </c>
      <c r="H10" s="45" t="inlineStr">
        <is>
          <t>8:30a-3:30p f2</t>
        </is>
      </c>
      <c r="I10" s="48" t="n">
        <v>7.5</v>
      </c>
      <c r="J10" s="56" t="inlineStr">
        <is>
          <t>12p-3p f6CC</t>
        </is>
      </c>
      <c r="K10" s="48" t="n">
        <v>3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break</t>
        </is>
      </c>
      <c r="B11" s="303" t="n"/>
      <c r="C11" s="48" t="n"/>
      <c r="D11" s="48" t="inlineStr">
        <is>
          <t>7:30a-12p Ground/ 12-12:30f2</t>
        </is>
      </c>
      <c r="E11" s="48" t="n">
        <v>5</v>
      </c>
      <c r="F11" s="48" t="inlineStr">
        <is>
          <t>7:30a-12p Ground/ 12-12:30f2</t>
        </is>
      </c>
      <c r="G11" s="48" t="n">
        <v>5</v>
      </c>
      <c r="H11" s="45" t="inlineStr">
        <is>
          <t>10a-7:30a f2/ closing</t>
        </is>
      </c>
      <c r="I11" s="48" t="n">
        <v>8.5</v>
      </c>
      <c r="J11" s="303" t="inlineStr">
        <is>
          <t>2p-6p Ground</t>
        </is>
      </c>
      <c r="K11" s="48" t="n">
        <v>4</v>
      </c>
      <c r="L11" s="56" t="inlineStr">
        <is>
          <t>8a-4pm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60" t="inlineStr">
        <is>
          <t>Anastasia break</t>
        </is>
      </c>
      <c r="B12" s="60" t="inlineStr">
        <is>
          <t>9a-5  CC f2</t>
        </is>
      </c>
      <c r="C12" s="48" t="n">
        <v>7.5</v>
      </c>
      <c r="D12" s="60" t="n"/>
      <c r="E12" s="48" t="n"/>
      <c r="F12" s="318" t="n"/>
      <c r="G12" s="48" t="n"/>
      <c r="H12" s="56" t="inlineStr">
        <is>
          <t>8a-3p CC f6/ B@3/ 3:30-6p ground</t>
        </is>
      </c>
      <c r="I12" s="48" t="n">
        <v>9.5</v>
      </c>
      <c r="J12" s="318" t="inlineStr">
        <is>
          <t>8a-4p f6CC</t>
        </is>
      </c>
      <c r="K12" s="48" t="n">
        <v>7.5</v>
      </c>
      <c r="L12" s="48" t="inlineStr">
        <is>
          <t>8a-6p f2 B@12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8a-4pm TR CC f6</t>
        </is>
      </c>
      <c r="G13" s="48" t="n">
        <v>7.5</v>
      </c>
      <c r="H13" s="132" t="inlineStr">
        <is>
          <t>2-2:30 GR/ 2:30-7:30pm closing w Vivi f2</t>
        </is>
      </c>
      <c r="I13" s="48" t="n">
        <v>5</v>
      </c>
      <c r="J13" s="319" t="inlineStr">
        <is>
          <t>TR w Kavya 8a-3p CC</t>
        </is>
      </c>
      <c r="K13" s="48" t="n">
        <v>6.5</v>
      </c>
      <c r="L13" s="101" t="inlineStr">
        <is>
          <t>TR opening w Daria 7:30a-12:30p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RO</t>
        </is>
      </c>
      <c r="E14" s="18" t="n"/>
      <c r="F14" s="303" t="n"/>
      <c r="G14" s="48" t="n"/>
      <c r="H14" s="303" t="n"/>
      <c r="I14" s="48" t="n"/>
      <c r="J14" s="266" t="inlineStr">
        <is>
          <t>8a-4pm TR Opening w Pablo/ Event</t>
        </is>
      </c>
      <c r="K14" s="48" t="n">
        <v>7.5</v>
      </c>
      <c r="L14" s="101" t="inlineStr">
        <is>
          <t>8a-12p TR f2/ B@12 / 12:30-4 f2 event</t>
        </is>
      </c>
      <c r="M14" s="48" t="n">
        <v>7.5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9" customHeight="1">
      <c r="A15" s="128" t="inlineStr">
        <is>
          <t xml:space="preserve">Daria  </t>
        </is>
      </c>
      <c r="B15" s="50" t="inlineStr">
        <is>
          <t>9-12 Scotia event/ b@12/ 12:30-5 w Fran</t>
        </is>
      </c>
      <c r="C15" s="48" t="n">
        <v>7.5</v>
      </c>
      <c r="D15" s="60" t="inlineStr">
        <is>
          <t>9:30a-7p f6CC</t>
        </is>
      </c>
      <c r="E15" s="48" t="n">
        <v>10</v>
      </c>
      <c r="F15" s="50" t="inlineStr">
        <is>
          <t>1-4p</t>
        </is>
      </c>
      <c r="G15" s="48" t="n">
        <v>3</v>
      </c>
      <c r="H15" s="45" t="n"/>
      <c r="I15" s="48" t="n"/>
      <c r="J15" s="45" t="inlineStr">
        <is>
          <t>RO</t>
        </is>
      </c>
      <c r="K15" s="48" t="n"/>
      <c r="L15" s="48" t="inlineStr">
        <is>
          <t>7:30a-12p Ground/ 12-12:30f2</t>
        </is>
      </c>
      <c r="M15" s="48" t="n">
        <v>5</v>
      </c>
      <c r="N15" s="18" t="n"/>
      <c r="O15" s="18" t="n"/>
      <c r="P15" s="3">
        <f>SUM(O15,M15,K15,I15,G15,E15,C15)</f>
        <v/>
      </c>
      <c r="R15" s="299" t="inlineStr">
        <is>
          <t>GF ELEV PEAK</t>
        </is>
      </c>
      <c r="S15" s="299" t="n"/>
      <c r="T15" s="299" t="inlineStr">
        <is>
          <t>8a-8:45 / 11:15-12:15 / 2:30-3:30p</t>
        </is>
      </c>
      <c r="U15" s="299" t="n"/>
      <c r="V15" s="300" t="n"/>
    </row>
    <row r="16" ht="62.5" customHeight="1">
      <c r="A16" s="128" t="inlineStr">
        <is>
          <t xml:space="preserve">Chinnesha </t>
        </is>
      </c>
      <c r="B16" s="60" t="inlineStr">
        <is>
          <t>9:30a-7p f6CC</t>
        </is>
      </c>
      <c r="C16" s="48" t="n">
        <v>9</v>
      </c>
      <c r="D16" s="283" t="n"/>
      <c r="E16" s="48" t="n"/>
      <c r="F16" s="318" t="inlineStr">
        <is>
          <t>11a-7p f6CC B@3:30</t>
        </is>
      </c>
      <c r="G16" s="48" t="n">
        <v>7.5</v>
      </c>
      <c r="H16" s="60" t="inlineStr">
        <is>
          <t>11a-7p f6CC</t>
        </is>
      </c>
      <c r="I16" s="48" t="n">
        <v>7.5</v>
      </c>
      <c r="J16" s="318" t="n"/>
      <c r="K16" s="48" t="n"/>
      <c r="L16" s="273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16" customHeight="1">
      <c r="A17" s="45" t="inlineStr">
        <is>
          <t>JuanCa</t>
        </is>
      </c>
      <c r="B17" s="69" t="n"/>
      <c r="C17" s="48" t="n"/>
      <c r="D17" s="45" t="inlineStr">
        <is>
          <t>4p-7:30p f2/ closing</t>
        </is>
      </c>
      <c r="E17" s="48" t="n">
        <v>3.5</v>
      </c>
      <c r="F17" s="45" t="inlineStr">
        <is>
          <t>4p-7:30p f2/ closing</t>
        </is>
      </c>
      <c r="G17" s="48" t="n">
        <v>3.5</v>
      </c>
      <c r="H17" s="69" t="n"/>
      <c r="I17" s="48" t="n"/>
      <c r="J17" s="45" t="inlineStr">
        <is>
          <t>4p-7:30p f2/ closing</t>
        </is>
      </c>
      <c r="K17" s="48" t="n">
        <v>3.5</v>
      </c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Iqra</t>
        </is>
      </c>
      <c r="B18" s="45" t="inlineStr">
        <is>
          <t>12p-6p GR</t>
        </is>
      </c>
      <c r="C18" s="48" t="n">
        <v>5.5</v>
      </c>
      <c r="D18" s="45" t="inlineStr">
        <is>
          <t>12p-6p GR</t>
        </is>
      </c>
      <c r="E18" s="48" t="n">
        <v>5.5</v>
      </c>
      <c r="F18" s="45" t="inlineStr">
        <is>
          <t>12p-6p GR</t>
        </is>
      </c>
      <c r="G18" s="48" t="n">
        <v>5.5</v>
      </c>
      <c r="H18" s="45" t="inlineStr">
        <is>
          <t>RO</t>
        </is>
      </c>
      <c r="I18" s="48" t="n"/>
      <c r="J18" s="45" t="inlineStr">
        <is>
          <t>RO</t>
        </is>
      </c>
      <c r="K18" s="4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Itohan 6</t>
        </is>
      </c>
      <c r="B19" s="69" t="n"/>
      <c r="C19" s="18" t="n"/>
      <c r="D19" s="50" t="inlineStr">
        <is>
          <t>10a-6p w fran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>8:30a-1:30p w fran/ B@1:30 / 2-6 ground</t>
        </is>
      </c>
      <c r="K19" s="18" t="n">
        <v>9</v>
      </c>
      <c r="L19" s="303" t="n"/>
      <c r="M19" s="18" t="n"/>
      <c r="N19" s="18" t="n"/>
      <c r="O19" s="18" t="n"/>
      <c r="P19" s="3">
        <f>SUM(O19,M19,K19,I19,G19,E19,C19)</f>
        <v/>
      </c>
    </row>
    <row r="20" ht="16" customHeight="1">
      <c r="A20" s="45" t="inlineStr">
        <is>
          <t>Faezah 6</t>
        </is>
      </c>
      <c r="B20" s="50" t="inlineStr">
        <is>
          <t>10a-1p w fran</t>
        </is>
      </c>
      <c r="C20" s="18" t="n">
        <v>3</v>
      </c>
      <c r="D20" s="305" t="inlineStr">
        <is>
          <t>10a-12p w fran</t>
        </is>
      </c>
      <c r="E20" s="18" t="n">
        <v>2</v>
      </c>
      <c r="F20" s="320" t="inlineStr">
        <is>
          <t>10:30a-2p w fran</t>
        </is>
      </c>
      <c r="G20" s="18" t="n">
        <v>3.5</v>
      </c>
      <c r="H20" s="320" t="inlineStr">
        <is>
          <t>8:30a-3p w fran</t>
        </is>
      </c>
      <c r="I20" s="18" t="n">
        <v>6.5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 s="447">
        <f>SUM(O22,M22,K22,I22,G22,E22,C22)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Q26">
        <f>P21*20</f>
        <v/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  <c r="T30" t="inlineStr">
        <is>
          <t xml:space="preserve"> </t>
        </is>
      </c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="80" zoomScaleNormal="80" zoomScaleSheetLayoutView="100" workbookViewId="0">
      <selection activeCell="K5" sqref="K5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10.33203125" bestFit="1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46118</v>
      </c>
      <c r="C2" s="6" t="n"/>
      <c r="D2" s="5" t="n">
        <v>46119</v>
      </c>
      <c r="E2" s="6" t="n"/>
      <c r="F2" s="5" t="n">
        <v>46120</v>
      </c>
      <c r="G2" s="6" t="n"/>
      <c r="H2" s="5" t="n">
        <v>46121</v>
      </c>
      <c r="I2" s="6" t="n"/>
      <c r="J2" s="5" t="n">
        <v>46122</v>
      </c>
      <c r="K2" s="6" t="n"/>
      <c r="L2" s="5" t="n">
        <v>46123</v>
      </c>
      <c r="M2" s="6" t="n"/>
      <c r="N2" s="5" t="n">
        <v>46124</v>
      </c>
      <c r="O2" s="7" t="n"/>
      <c r="P2" s="3" t="n"/>
    </row>
    <row r="3" ht="48" customHeight="1">
      <c r="A3" s="8" t="inlineStr">
        <is>
          <t>EVENTS</t>
        </is>
      </c>
      <c r="B3" s="313" t="inlineStr">
        <is>
          <t>Graduate photos MR-6B</t>
        </is>
      </c>
      <c r="C3" s="10" t="n"/>
      <c r="D3" s="62" t="inlineStr">
        <is>
          <t>Graduate photos MR-6B/ EASTER CELEBRATION 11-2PM</t>
        </is>
      </c>
      <c r="E3" s="10" t="n"/>
      <c r="F3" s="9" t="inlineStr">
        <is>
          <t>9a-11a HUB - NetworkWtheBest / Graduate photos MR-6B</t>
        </is>
      </c>
      <c r="G3" s="11" t="n"/>
      <c r="H3" s="62" t="inlineStr">
        <is>
          <t xml:space="preserve">Graduate photos MR-6B / BBLab 9AM-11:30a fac TR 30ppl/  </t>
        </is>
      </c>
      <c r="I3" s="10" t="n"/>
      <c r="J3" s="285" t="inlineStr">
        <is>
          <t>Francisco, Marina Last Day / Graduate photos MR-6B</t>
        </is>
      </c>
      <c r="K3" s="10" t="n"/>
      <c r="L3" s="62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wfh 8a-1p</t>
        </is>
      </c>
      <c r="C4" s="18" t="n">
        <v>5</v>
      </c>
      <c r="D4" s="18" t="inlineStr">
        <is>
          <t>9:30a-6:30p</t>
        </is>
      </c>
      <c r="E4" s="18" t="n">
        <v>8.5</v>
      </c>
      <c r="F4" s="18" t="inlineStr">
        <is>
          <t>9a-7 +2hrs wfh</t>
        </is>
      </c>
      <c r="G4" s="18" t="n">
        <v>12</v>
      </c>
      <c r="H4" s="18" t="inlineStr">
        <is>
          <t>10a-7p</t>
        </is>
      </c>
      <c r="I4" s="18" t="n">
        <v>9</v>
      </c>
      <c r="J4" s="18" t="inlineStr">
        <is>
          <t>9a-5p</t>
        </is>
      </c>
      <c r="K4" s="18" t="n">
        <v>8</v>
      </c>
      <c r="L4" s="289" t="n"/>
      <c r="M4" s="18" t="n"/>
      <c r="N4" s="18" t="inlineStr">
        <is>
          <t>OFF</t>
        </is>
      </c>
      <c r="O4" s="18" t="n"/>
      <c r="P4" s="322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22">
        <f>SUM(O5,M5,K5,I5,G5,E5,C5)</f>
        <v/>
      </c>
    </row>
    <row r="6" ht="48" customHeight="1">
      <c r="A6" s="163" t="inlineStr">
        <is>
          <t>Pablo</t>
        </is>
      </c>
      <c r="B6" s="48" t="inlineStr">
        <is>
          <t>9-10am help set-up photographers/ 10a-5p inv</t>
        </is>
      </c>
      <c r="C6" s="48" t="n">
        <v>8.5</v>
      </c>
      <c r="D6" s="56" t="inlineStr">
        <is>
          <t>11a-7p f6CC</t>
        </is>
      </c>
      <c r="E6" s="48" t="n">
        <v>7.5</v>
      </c>
      <c r="F6" s="135" t="inlineStr">
        <is>
          <t>12p-3 w fran</t>
        </is>
      </c>
      <c r="G6" s="48" t="n">
        <v>3</v>
      </c>
      <c r="H6" s="297" t="n"/>
      <c r="I6" s="48" t="n"/>
      <c r="J6" s="45" t="n"/>
      <c r="K6" s="48" t="n"/>
      <c r="L6" s="314" t="inlineStr">
        <is>
          <t>7:30a-12:30 GR/ B@12:30/ 1-1:30 f6</t>
        </is>
      </c>
      <c r="M6" s="48" t="n">
        <v>5.5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8" t="inlineStr">
        <is>
          <t>7:45a-3:45p f6</t>
        </is>
      </c>
      <c r="C7" s="48" t="n">
        <v>7.5</v>
      </c>
      <c r="D7" s="48" t="inlineStr">
        <is>
          <t>7:45a-3:45p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7:45a-2:45p f2 B@11</t>
        </is>
      </c>
      <c r="I7" s="48" t="n">
        <v>6.5</v>
      </c>
      <c r="J7" s="56" t="n"/>
      <c r="K7" s="48" t="n"/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8a-4p f2</t>
        </is>
      </c>
      <c r="C8" s="48" t="n">
        <v>7.5</v>
      </c>
      <c r="D8" s="298" t="inlineStr">
        <is>
          <t>8a-3p f2</t>
        </is>
      </c>
      <c r="E8" s="48" t="n">
        <v>6.5</v>
      </c>
      <c r="F8" s="48" t="inlineStr">
        <is>
          <t>8a-4pm f2 B@11:30a</t>
        </is>
      </c>
      <c r="G8" s="48" t="n">
        <v>7.5</v>
      </c>
      <c r="H8" s="38" t="n"/>
      <c r="I8" s="48" t="n"/>
      <c r="J8" s="135" t="inlineStr">
        <is>
          <t>12:30-6p ground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10a-11:30a f2/ 11:30-2:30p ground</t>
        </is>
      </c>
      <c r="I9" s="48" t="n">
        <v>4.5</v>
      </c>
      <c r="J9" s="48" t="inlineStr">
        <is>
          <t>10a-3p f6</t>
        </is>
      </c>
      <c r="K9" s="48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128" t="inlineStr">
        <is>
          <t xml:space="preserve">Sagar </t>
        </is>
      </c>
      <c r="B10" s="48" t="inlineStr">
        <is>
          <t>4p-7:30p f2</t>
        </is>
      </c>
      <c r="C10" s="48" t="n">
        <v>3.5</v>
      </c>
      <c r="D10" s="45" t="inlineStr">
        <is>
          <t>2:30-7:30 f2/closing</t>
        </is>
      </c>
      <c r="E10" s="48" t="n">
        <v>5</v>
      </c>
      <c r="F10" s="45" t="inlineStr">
        <is>
          <t>11:30a-12p f2/ 12-4:30p f6</t>
        </is>
      </c>
      <c r="G10" s="48" t="n">
        <v>5</v>
      </c>
      <c r="H10" s="48" t="inlineStr">
        <is>
          <t>2:30-7:30p f2/ closing</t>
        </is>
      </c>
      <c r="I10" s="48" t="n">
        <v>5</v>
      </c>
      <c r="J10" s="38" t="n"/>
      <c r="K10" s="48" t="n"/>
      <c r="L10" s="48" t="inlineStr">
        <is>
          <t>RO</t>
        </is>
      </c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60" t="inlineStr">
        <is>
          <t>8a-4pm f6 CC</t>
        </is>
      </c>
      <c r="C11" s="48" t="n">
        <v>7.5</v>
      </c>
      <c r="D11" s="129" t="inlineStr">
        <is>
          <t xml:space="preserve"> </t>
        </is>
      </c>
      <c r="E11" s="48" t="n"/>
      <c r="F11" s="315" t="n"/>
      <c r="G11" s="48" t="n"/>
      <c r="H11" s="60" t="inlineStr">
        <is>
          <t>8a-6p f6 CC B@1</t>
        </is>
      </c>
      <c r="I11" s="48" t="n">
        <v>9.5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>11a-7p f6CC</t>
        </is>
      </c>
      <c r="C12" s="48" t="n">
        <v>7.5</v>
      </c>
      <c r="D12" s="56" t="n"/>
      <c r="E12" s="48" t="n"/>
      <c r="F12" s="60" t="inlineStr">
        <is>
          <t>8a-4pm f6 CC</t>
        </is>
      </c>
      <c r="G12" s="48" t="n">
        <v>7.5</v>
      </c>
      <c r="H12" s="56" t="inlineStr">
        <is>
          <t>11a-7p f6CC</t>
        </is>
      </c>
      <c r="I12" s="48" t="n">
        <v>7.5</v>
      </c>
      <c r="J12" s="157" t="n"/>
      <c r="K12" s="48" t="n"/>
      <c r="L12" s="56" t="inlineStr">
        <is>
          <t>8a-7p f6 CC B@1pm</t>
        </is>
      </c>
      <c r="M12" s="48" t="n">
        <v>10.5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12p-6p ground</t>
        </is>
      </c>
      <c r="G13" s="48" t="n">
        <v>5.5</v>
      </c>
      <c r="H13" s="48" t="inlineStr">
        <is>
          <t>2:30p-6p ground</t>
        </is>
      </c>
      <c r="I13" s="48" t="n">
        <v>3.5</v>
      </c>
      <c r="J13" s="48" t="n"/>
      <c r="K13" s="48" t="n"/>
      <c r="L13" s="48" t="inlineStr">
        <is>
          <t>12:30p-6p ground</t>
        </is>
      </c>
      <c r="M13" s="48" t="n">
        <v>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60" t="inlineStr">
        <is>
          <t>Anastasia B</t>
        </is>
      </c>
      <c r="B14" s="82" t="inlineStr">
        <is>
          <t>RO</t>
        </is>
      </c>
      <c r="C14" s="18" t="n"/>
      <c r="D14" s="60" t="inlineStr">
        <is>
          <t>8a-4pm f6 CC B@1 / 4-6 proj</t>
        </is>
      </c>
      <c r="E14" s="48" t="n">
        <v>9.5</v>
      </c>
      <c r="F14" s="56" t="inlineStr">
        <is>
          <t>11a-7p f6CC</t>
        </is>
      </c>
      <c r="G14" s="48" t="n">
        <v>7.5</v>
      </c>
      <c r="H14" s="48" t="n"/>
      <c r="I14" s="48" t="n"/>
      <c r="J14" s="56" t="inlineStr">
        <is>
          <t>11a-7p f6CC</t>
        </is>
      </c>
      <c r="K14" s="48" t="n">
        <v>7.5</v>
      </c>
      <c r="L14" s="56" t="inlineStr">
        <is>
          <t>11a-7p f2CC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8" t="inlineStr">
        <is>
          <t>9a-5p inv</t>
        </is>
      </c>
      <c r="C15" s="48" t="n">
        <v>7.5</v>
      </c>
      <c r="D15" s="45" t="n"/>
      <c r="E15" s="48" t="n"/>
      <c r="F15" s="50" t="inlineStr">
        <is>
          <t>8a-12p event</t>
        </is>
      </c>
      <c r="G15" s="48" t="n">
        <v>4</v>
      </c>
      <c r="H15" s="50" t="inlineStr">
        <is>
          <t>8a-11a set-up BB event + w fran</t>
        </is>
      </c>
      <c r="I15" s="48" t="n">
        <v>3</v>
      </c>
      <c r="J15" s="45" t="inlineStr">
        <is>
          <t>7:45a-4p f2</t>
        </is>
      </c>
      <c r="K15" s="48" t="n">
        <v>7.75</v>
      </c>
      <c r="L15" s="45" t="inlineStr">
        <is>
          <t>8a-4pm f2</t>
        </is>
      </c>
      <c r="M15" s="48" t="n">
        <v>7.5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RO</t>
        </is>
      </c>
      <c r="C16" s="48" t="n"/>
      <c r="D16" s="283" t="n"/>
      <c r="E16" s="48" t="n"/>
      <c r="F16" s="56" t="inlineStr">
        <is>
          <t>RO</t>
        </is>
      </c>
      <c r="G16" s="48" t="n"/>
      <c r="H16" s="48" t="inlineStr">
        <is>
          <t>8a-4p f6 (tr Mick)</t>
        </is>
      </c>
      <c r="I16" s="48" t="n">
        <v>7.5</v>
      </c>
      <c r="J16" s="60" t="inlineStr">
        <is>
          <t>8a-4pm f6 CC</t>
        </is>
      </c>
      <c r="K16" s="48" t="n">
        <v>7.5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5" customHeight="1">
      <c r="A17" s="316" t="inlineStr">
        <is>
          <t>MEG</t>
        </is>
      </c>
      <c r="B17" s="273" t="n"/>
      <c r="C17" s="48" t="n"/>
      <c r="D17" s="273" t="n"/>
      <c r="E17" s="48" t="n"/>
      <c r="F17" s="101" t="inlineStr">
        <is>
          <t>9a-5pm TR w Kavya, Vivi &amp; Ana CC f6</t>
        </is>
      </c>
      <c r="G17" s="48" t="n">
        <v>7.5</v>
      </c>
      <c r="H17" s="157" t="n"/>
      <c r="I17" s="48" t="n"/>
      <c r="J17" s="324" t="inlineStr">
        <is>
          <t>8a-1p TR w Chinni CC</t>
        </is>
      </c>
      <c r="K17" s="48" t="n">
        <v>5</v>
      </c>
      <c r="L17" s="101" t="inlineStr">
        <is>
          <t>7:30a-9:30a TR w Pablo/ 9:30a-12:30p TR w Daria</t>
        </is>
      </c>
      <c r="M17" s="48" t="n">
        <v>5</v>
      </c>
      <c r="N17" s="18" t="n"/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6" customHeight="1">
      <c r="A18" s="45" t="inlineStr">
        <is>
          <t>Francisco C</t>
        </is>
      </c>
      <c r="B18" s="45" t="inlineStr">
        <is>
          <t>7:30a-12:30p ground</t>
        </is>
      </c>
      <c r="C18" s="48" t="n">
        <v>5</v>
      </c>
      <c r="D18" s="45" t="inlineStr">
        <is>
          <t>7:30a-12:30p ground</t>
        </is>
      </c>
      <c r="E18" s="48" t="n">
        <v>5</v>
      </c>
      <c r="F18" s="45" t="inlineStr">
        <is>
          <t>7:30a-12:30p ground</t>
        </is>
      </c>
      <c r="G18" s="48" t="n">
        <v>5</v>
      </c>
      <c r="H18" s="45" t="inlineStr">
        <is>
          <t>7:30a-11:30a ground</t>
        </is>
      </c>
      <c r="I18" s="48" t="n">
        <v>4</v>
      </c>
      <c r="J18" s="298" t="inlineStr">
        <is>
          <t>7:30a-12:30p</t>
        </is>
      </c>
      <c r="K18" s="18" t="n">
        <v>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Juan Carlos</t>
        </is>
      </c>
      <c r="B19" s="69" t="n"/>
      <c r="C19" s="48" t="n"/>
      <c r="D19" s="45" t="n"/>
      <c r="E19" s="48" t="n"/>
      <c r="F19" s="45" t="inlineStr">
        <is>
          <t>4p-7:30pm f2</t>
        </is>
      </c>
      <c r="G19" s="48" t="n">
        <v>3.5</v>
      </c>
      <c r="H19" s="69" t="n"/>
      <c r="I19" s="48" t="n"/>
      <c r="J19" s="45" t="inlineStr">
        <is>
          <t>4p-7:30pm f2</t>
        </is>
      </c>
      <c r="K19" s="48" t="n">
        <v>3.5</v>
      </c>
      <c r="L19" s="45" t="inlineStr">
        <is>
          <t>4p-7:30p f2</t>
        </is>
      </c>
      <c r="M19" s="48" t="n">
        <v>3.5</v>
      </c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" customHeight="1">
      <c r="A20" s="45" t="inlineStr">
        <is>
          <t>Itohan 5</t>
        </is>
      </c>
      <c r="B20" s="69" t="n"/>
      <c r="C20" s="18" t="n"/>
      <c r="D20" s="60" t="inlineStr">
        <is>
          <t>12p-7pm f6 TR CC B@3</t>
        </is>
      </c>
      <c r="E20" s="18" t="n">
        <v>6.5</v>
      </c>
      <c r="F20" s="317" t="inlineStr">
        <is>
          <t>4p-7p TR f6CC</t>
        </is>
      </c>
      <c r="G20" s="18" t="n">
        <v>3</v>
      </c>
      <c r="H20" s="303" t="n"/>
      <c r="I20" s="18" t="n"/>
      <c r="J20" s="50" t="inlineStr">
        <is>
          <t>1p-7p f6CC TR w Ana</t>
        </is>
      </c>
      <c r="K20" s="18" t="n">
        <v>5.5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2" customHeight="1">
      <c r="A21" s="45" t="inlineStr">
        <is>
          <t>Faezah 5</t>
        </is>
      </c>
      <c r="B21" s="82" t="inlineStr">
        <is>
          <t>9a-5p inv w Daria</t>
        </is>
      </c>
      <c r="C21" s="18" t="n">
        <v>7.5</v>
      </c>
      <c r="D21" s="90" t="inlineStr">
        <is>
          <t>8a-12p TR CC w Ana</t>
        </is>
      </c>
      <c r="E21" s="18" t="n">
        <v>4</v>
      </c>
      <c r="F21" s="306" t="inlineStr">
        <is>
          <t>8:30a-12p event w Daria + f2</t>
        </is>
      </c>
      <c r="G21" s="18" t="n">
        <v>3.5</v>
      </c>
      <c r="H21" s="304" t="n"/>
      <c r="I21" s="18" t="n"/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47">
        <f>SUM(O23,M23,K23,I23,G23,E23,C23)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 xml:space="preserve"> </t>
        </is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Normal="100" zoomScaleSheetLayoutView="100" workbookViewId="0">
      <selection activeCell="I4" sqref="I4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46111</v>
      </c>
      <c r="C2" s="6" t="n"/>
      <c r="D2" s="5" t="n">
        <v>46112</v>
      </c>
      <c r="E2" s="6" t="n"/>
      <c r="F2" s="5" t="n">
        <v>46113</v>
      </c>
      <c r="G2" s="6" t="n"/>
      <c r="H2" s="5" t="n">
        <v>46114</v>
      </c>
      <c r="I2" s="6" t="n"/>
      <c r="J2" s="5" t="n">
        <v>46115</v>
      </c>
      <c r="K2" s="6" t="n"/>
      <c r="L2" s="5" t="n">
        <v>46116</v>
      </c>
      <c r="M2" s="6" t="n"/>
      <c r="N2" s="5" t="n">
        <v>46117</v>
      </c>
      <c r="O2" s="7" t="n"/>
      <c r="P2" s="3" t="n"/>
    </row>
    <row r="3" ht="56" customHeight="1">
      <c r="A3" s="8" t="inlineStr">
        <is>
          <t>EVENTS</t>
        </is>
      </c>
      <c r="B3" s="93" t="inlineStr">
        <is>
          <t xml:space="preserve">604 - Vanessa makeup class - check 40 chairs /Amena class 601 - check 34 chairs </t>
        </is>
      </c>
      <c r="C3" s="10" t="n"/>
      <c r="D3" s="9" t="inlineStr">
        <is>
          <t>BLACK CREATOR EVENT (5 to 8pm)</t>
        </is>
      </c>
      <c r="E3" s="10" t="n"/>
      <c r="F3" s="9" t="n"/>
      <c r="G3" s="11" t="n"/>
      <c r="H3" s="288" t="inlineStr">
        <is>
          <t>6A - Aashima call Ottawa 12:30-4:30p</t>
        </is>
      </c>
      <c r="I3" s="10" t="n"/>
      <c r="J3" s="285" t="inlineStr">
        <is>
          <t>GOOD FRIDAY STAT</t>
        </is>
      </c>
      <c r="K3" s="10" t="n"/>
      <c r="L3" s="62" t="inlineStr">
        <is>
          <t>Graduate photos setup -6B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9:15a-8:15p</t>
        </is>
      </c>
      <c r="C4" s="18" t="n">
        <v>11</v>
      </c>
      <c r="D4" s="18" t="inlineStr">
        <is>
          <t>11a-7:30</t>
        </is>
      </c>
      <c r="E4" s="18" t="n">
        <v>8.5</v>
      </c>
      <c r="F4" s="18" t="inlineStr">
        <is>
          <t>9a-7 vega first</t>
        </is>
      </c>
      <c r="G4" s="18" t="n">
        <v>10</v>
      </c>
      <c r="H4" s="18" t="inlineStr">
        <is>
          <t>2p-5p wfh</t>
        </is>
      </c>
      <c r="I4" s="18" t="n">
        <v>3</v>
      </c>
      <c r="J4" s="18" t="inlineStr">
        <is>
          <t>STAT</t>
        </is>
      </c>
      <c r="K4" s="18" t="n">
        <v>8</v>
      </c>
      <c r="L4" s="289" t="n"/>
      <c r="M4" s="18" t="n"/>
      <c r="N4" s="18" t="n"/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9a-6</t>
        </is>
      </c>
      <c r="C5" s="18" t="n">
        <v>9</v>
      </c>
      <c r="D5" s="18" t="inlineStr">
        <is>
          <t>1p-9pm event</t>
        </is>
      </c>
      <c r="E5" s="18" t="n">
        <v>8</v>
      </c>
      <c r="F5" s="18" t="inlineStr">
        <is>
          <t>9a-5p WFH</t>
        </is>
      </c>
      <c r="G5" s="18" t="n">
        <v>8</v>
      </c>
      <c r="H5" s="18" t="inlineStr">
        <is>
          <t>9a-5 (TR 12:30-5)</t>
        </is>
      </c>
      <c r="I5" s="18" t="n">
        <v>8</v>
      </c>
      <c r="J5" s="18" t="inlineStr">
        <is>
          <t>STAT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45" t="inlineStr">
        <is>
          <t>2p-7p set-up</t>
        </is>
      </c>
      <c r="C6" s="48" t="n">
        <v>5</v>
      </c>
      <c r="D6" s="45" t="inlineStr">
        <is>
          <t>11a-7p set-up/ event</t>
        </is>
      </c>
      <c r="E6" s="48" t="n">
        <v>7.5</v>
      </c>
      <c r="F6" s="135" t="n"/>
      <c r="G6" s="48" t="n"/>
      <c r="H6" s="297" t="n"/>
      <c r="I6" s="48" t="n"/>
      <c r="J6" s="45" t="inlineStr">
        <is>
          <t>STAT</t>
        </is>
      </c>
      <c r="K6" s="48" t="n"/>
      <c r="L6" s="56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240" t="inlineStr">
        <is>
          <t>11a-3p w fran</t>
        </is>
      </c>
      <c r="C7" s="48" t="n">
        <v>4</v>
      </c>
      <c r="D7" s="56" t="inlineStr">
        <is>
          <t>7:45a-4:45p f6 CC B@11:30a</t>
        </is>
      </c>
      <c r="E7" s="48" t="n">
        <v>8.5</v>
      </c>
      <c r="F7" s="155" t="inlineStr">
        <is>
          <t>7:45a-12:15p f6</t>
        </is>
      </c>
      <c r="G7" s="48" t="n">
        <v>4.5</v>
      </c>
      <c r="H7" s="298" t="inlineStr">
        <is>
          <t>7:45a-3:15p f6</t>
        </is>
      </c>
      <c r="I7" s="48" t="n">
        <v>7</v>
      </c>
      <c r="J7" s="56" t="inlineStr">
        <is>
          <t>OFF</t>
        </is>
      </c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2:30p-7:30p f2</t>
        </is>
      </c>
      <c r="C8" s="48" t="n">
        <v>5</v>
      </c>
      <c r="D8" s="297" t="inlineStr">
        <is>
          <t>8a-3p f2</t>
        </is>
      </c>
      <c r="E8" s="48" t="n">
        <v>6.5</v>
      </c>
      <c r="F8" s="48" t="inlineStr">
        <is>
          <t>8a-4p f2</t>
        </is>
      </c>
      <c r="G8" s="48" t="n">
        <v>7.5</v>
      </c>
      <c r="H8" s="38" t="n"/>
      <c r="I8" s="48" t="n"/>
      <c r="J8" s="135" t="inlineStr">
        <is>
          <t>OFF</t>
        </is>
      </c>
      <c r="K8" s="48" t="n"/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10a-3p f2</t>
        </is>
      </c>
      <c r="C9" s="48" t="n">
        <v>5</v>
      </c>
      <c r="D9" s="48" t="n"/>
      <c r="E9" s="48" t="n"/>
      <c r="F9" s="38" t="n"/>
      <c r="G9" s="48" t="n"/>
      <c r="H9" s="48" t="inlineStr">
        <is>
          <t>10a-3p f2</t>
        </is>
      </c>
      <c r="I9" s="48" t="n">
        <v>5</v>
      </c>
      <c r="J9" s="48" t="inlineStr">
        <is>
          <t>OFF</t>
        </is>
      </c>
      <c r="K9" s="48" t="n"/>
      <c r="L9" s="135" t="inlineStr">
        <is>
          <t>12p-7:30p f2/ closing</t>
        </is>
      </c>
      <c r="M9" s="48" t="n">
        <v>6.5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 xml:space="preserve">Sagar </t>
        </is>
      </c>
      <c r="B10" s="45" t="inlineStr">
        <is>
          <t>2p-7p set-up</t>
        </is>
      </c>
      <c r="C10" s="48" t="n">
        <v>5</v>
      </c>
      <c r="D10" s="45" t="inlineStr">
        <is>
          <t>12pm-2 set-up/ 2-2:30 ground/ 2:30-3:30 setup/ B@3:30/ 4-9pm f2 (cover Iqra's break)</t>
        </is>
      </c>
      <c r="E10" s="48" t="n">
        <v>8.5</v>
      </c>
      <c r="F10" s="45" t="n"/>
      <c r="G10" s="48" t="n"/>
      <c r="H10" s="48" t="inlineStr">
        <is>
          <t>2-2:30p ground/ 3-7:30 f2/ closing</t>
        </is>
      </c>
      <c r="I10" s="48" t="n">
        <v>5</v>
      </c>
      <c r="J10" s="38" t="n"/>
      <c r="K10" s="48" t="n"/>
      <c r="L10" s="48" t="inlineStr">
        <is>
          <t>7:45a-12:45p f2</t>
        </is>
      </c>
      <c r="M10" s="48" t="n">
        <v>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48" t="n"/>
      <c r="C11" s="48" t="n"/>
      <c r="D11" s="129" t="inlineStr">
        <is>
          <t>8a-12p f6</t>
        </is>
      </c>
      <c r="E11" s="48" t="n">
        <v>4</v>
      </c>
      <c r="F11" s="60" t="inlineStr">
        <is>
          <t>9a-5p f6 CC</t>
        </is>
      </c>
      <c r="G11" s="48" t="n">
        <v>7.5</v>
      </c>
      <c r="H11" s="240" t="inlineStr">
        <is>
          <t>TR - 6A 12:30p-5p</t>
        </is>
      </c>
      <c r="I11" s="48" t="n">
        <v>4.5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Viviana B</t>
        </is>
      </c>
      <c r="B12" s="56" t="inlineStr">
        <is>
          <t>7:45a-4:15p f6CC</t>
        </is>
      </c>
      <c r="C12" s="48" t="n">
        <v>8</v>
      </c>
      <c r="D12" s="50" t="inlineStr">
        <is>
          <t>4pm-9pm EVENT</t>
        </is>
      </c>
      <c r="E12" s="48" t="n">
        <v>5</v>
      </c>
      <c r="F12" s="76" t="n"/>
      <c r="G12" s="48" t="n"/>
      <c r="H12" s="56" t="inlineStr">
        <is>
          <t>8a-4p f6CC</t>
        </is>
      </c>
      <c r="I12" s="48" t="n">
        <v>7.5</v>
      </c>
      <c r="J12" s="157" t="inlineStr">
        <is>
          <t>OFF</t>
        </is>
      </c>
      <c r="K12" s="48" t="n"/>
      <c r="L12" s="56" t="inlineStr">
        <is>
          <t>8a-4p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12:30p-6p ground</t>
        </is>
      </c>
      <c r="G13" s="48" t="n">
        <v>5</v>
      </c>
      <c r="H13" s="48" t="inlineStr">
        <is>
          <t>12:30p-6p ground</t>
        </is>
      </c>
      <c r="I13" s="48" t="n">
        <v>5</v>
      </c>
      <c r="J13" s="56" t="inlineStr">
        <is>
          <t>OFF</t>
        </is>
      </c>
      <c r="K13" s="48" t="n"/>
      <c r="L13" s="48" t="inlineStr">
        <is>
          <t>12:30p-6p ground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45" t="inlineStr">
        <is>
          <t xml:space="preserve">8a-4p f6 </t>
        </is>
      </c>
      <c r="C14" s="48" t="n">
        <v>7.5</v>
      </c>
      <c r="D14" s="56" t="inlineStr">
        <is>
          <t xml:space="preserve">11a-8p f6CC </t>
        </is>
      </c>
      <c r="E14" s="48" t="n">
        <v>8.5</v>
      </c>
      <c r="F14" s="56" t="inlineStr">
        <is>
          <t>8a-4p f6CC</t>
        </is>
      </c>
      <c r="G14" s="48" t="n">
        <v>7.5</v>
      </c>
      <c r="H14" s="48" t="inlineStr">
        <is>
          <t>RO</t>
        </is>
      </c>
      <c r="I14" s="48" t="n"/>
      <c r="J14" s="48" t="inlineStr">
        <is>
          <t>OFF</t>
        </is>
      </c>
      <c r="K14" s="48" t="n"/>
      <c r="L14" s="56" t="inlineStr">
        <is>
          <t>RO</t>
        </is>
      </c>
      <c r="M14" s="48" t="n"/>
      <c r="N14" s="18" t="inlineStr">
        <is>
          <t>RO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7:45a-12:45p f2</t>
        </is>
      </c>
      <c r="C15" s="48" t="n">
        <v>5</v>
      </c>
      <c r="D15" s="50" t="inlineStr">
        <is>
          <t>12p-3:30 w fran/ 4p-9pm help w event</t>
        </is>
      </c>
      <c r="E15" s="48" t="n">
        <v>8.5</v>
      </c>
      <c r="F15" s="56" t="inlineStr">
        <is>
          <t>11a-1p w fran/ 1-7p f6CC</t>
        </is>
      </c>
      <c r="G15" s="48" t="n">
        <v>7.5</v>
      </c>
      <c r="H15" s="48" t="inlineStr">
        <is>
          <t>8a-10a f2/ 10a-12p projs</t>
        </is>
      </c>
      <c r="I15" s="48" t="n">
        <v>4</v>
      </c>
      <c r="J15" s="45" t="inlineStr">
        <is>
          <t>OFF</t>
        </is>
      </c>
      <c r="K15" s="48" t="n"/>
      <c r="L15" s="48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11a-7p f6 CC</t>
        </is>
      </c>
      <c r="C16" s="48" t="n">
        <v>7.5</v>
      </c>
      <c r="D16" s="312" t="inlineStr">
        <is>
          <t>4PM-9PM EVENT</t>
        </is>
      </c>
      <c r="E16" s="48" t="n">
        <v>5</v>
      </c>
      <c r="F16" s="60" t="inlineStr">
        <is>
          <t>RO</t>
        </is>
      </c>
      <c r="G16" s="48" t="n"/>
      <c r="H16" s="56" t="inlineStr">
        <is>
          <t>11a-7p f6CC</t>
        </is>
      </c>
      <c r="I16" s="48" t="n">
        <v>7.5</v>
      </c>
      <c r="J16" s="56" t="inlineStr">
        <is>
          <t>OFF</t>
        </is>
      </c>
      <c r="K16" s="48" t="n"/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32" customHeight="1">
      <c r="A17" s="45" t="inlineStr">
        <is>
          <t>Francisco C</t>
        </is>
      </c>
      <c r="B17" s="45" t="inlineStr">
        <is>
          <t>7:30a-12:30p ground</t>
        </is>
      </c>
      <c r="C17" s="48" t="n">
        <v>5</v>
      </c>
      <c r="D17" s="45" t="inlineStr">
        <is>
          <t>7:30a-12:30p ground</t>
        </is>
      </c>
      <c r="E17" s="48" t="n">
        <v>5</v>
      </c>
      <c r="F17" s="45" t="inlineStr">
        <is>
          <t>7:30a-12:30p ground</t>
        </is>
      </c>
      <c r="G17" s="48" t="n">
        <v>5</v>
      </c>
      <c r="H17" s="45" t="inlineStr">
        <is>
          <t>7:30a-12:30p ground</t>
        </is>
      </c>
      <c r="I17" s="48" t="n">
        <v>5</v>
      </c>
      <c r="J17" s="298" t="inlineStr">
        <is>
          <t>OFF</t>
        </is>
      </c>
      <c r="K17" s="18" t="n"/>
      <c r="L17" s="45" t="inlineStr">
        <is>
          <t>7:30a-12:30p ground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inlineStr">
        <is>
          <t>4PM-9pmF&amp;B EVENT/ CLOSING</t>
        </is>
      </c>
      <c r="E18" s="48" t="n">
        <v>5</v>
      </c>
      <c r="F18" s="45" t="inlineStr">
        <is>
          <t>4-7:30 f2/ closing</t>
        </is>
      </c>
      <c r="G18" s="48" t="n">
        <v>3.5</v>
      </c>
      <c r="H18" s="69" t="n"/>
      <c r="I18" s="48" t="n"/>
      <c r="J18" s="82" t="inlineStr">
        <is>
          <t>OFF</t>
        </is>
      </c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MEG (TRAINING)</t>
        </is>
      </c>
      <c r="B19" s="69" t="n"/>
      <c r="C19" s="48" t="n"/>
      <c r="D19" s="69" t="n"/>
      <c r="E19" s="48" t="n"/>
      <c r="F19" s="45" t="n"/>
      <c r="G19" s="48" t="n"/>
      <c r="H19" s="45" t="inlineStr">
        <is>
          <t>12p-5pm TR w Aashima</t>
        </is>
      </c>
      <c r="I19" s="48" t="n">
        <v>5</v>
      </c>
      <c r="J19" s="82" t="n"/>
      <c r="K19" s="1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32" customHeight="1">
      <c r="A20" s="45" t="inlineStr">
        <is>
          <t>Itohan 4</t>
        </is>
      </c>
      <c r="B20" s="69" t="n"/>
      <c r="C20" s="18" t="n"/>
      <c r="D20" s="82" t="inlineStr">
        <is>
          <t>1p-4 f2/ b@4/ 4:30-9p event f2</t>
        </is>
      </c>
      <c r="E20" s="18" t="n">
        <v>7.5</v>
      </c>
      <c r="F20" s="303" t="n"/>
      <c r="G20" s="18" t="n"/>
      <c r="H20" s="303" t="inlineStr">
        <is>
          <t>4-7:30f2/closing TR</t>
        </is>
      </c>
      <c r="I20" s="18" t="n">
        <v>3.5</v>
      </c>
      <c r="J20" s="50" t="inlineStr">
        <is>
          <t>OFF</t>
        </is>
      </c>
      <c r="K20" s="18" t="n"/>
      <c r="L20" s="303" t="inlineStr">
        <is>
          <t>3:30-7:30p closing TR</t>
        </is>
      </c>
      <c r="M20" s="18" t="n">
        <v>4</v>
      </c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16" customHeight="1">
      <c r="A21" s="45" t="inlineStr">
        <is>
          <t>Faezah 4</t>
        </is>
      </c>
      <c r="B21" s="82" t="n"/>
      <c r="C21" s="18" t="n"/>
      <c r="D21" s="305" t="inlineStr">
        <is>
          <t>8a-12p TR w Kavya</t>
        </is>
      </c>
      <c r="E21" s="18" t="n">
        <v>4</v>
      </c>
      <c r="F21" s="302" t="inlineStr">
        <is>
          <t xml:space="preserve">8a-1p f6 TR w Anastasia </t>
        </is>
      </c>
      <c r="G21" s="18" t="n">
        <v>5</v>
      </c>
      <c r="H21" s="304" t="inlineStr">
        <is>
          <t>8a-2:30p TR w Viviana</t>
        </is>
      </c>
      <c r="I21" s="18" t="n">
        <v>6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20.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 xml:space="preserve"> </t>
        </is>
      </c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3" zoomScale="70" zoomScaleNormal="70" workbookViewId="0">
      <selection activeCell="M4" sqref="M4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46104</v>
      </c>
      <c r="C2" s="6" t="n"/>
      <c r="D2" s="5" t="n">
        <v>46105</v>
      </c>
      <c r="E2" s="6" t="n"/>
      <c r="F2" s="5" t="n">
        <v>46106</v>
      </c>
      <c r="G2" s="6" t="n"/>
      <c r="H2" s="5" t="n">
        <v>46107</v>
      </c>
      <c r="I2" s="6" t="n"/>
      <c r="J2" s="5" t="n">
        <v>46108</v>
      </c>
      <c r="K2" s="6" t="n"/>
      <c r="L2" s="5" t="n">
        <v>46109</v>
      </c>
      <c r="M2" s="6" t="n"/>
      <c r="N2" s="5" t="n">
        <v>46110</v>
      </c>
      <c r="O2" s="7" t="n"/>
      <c r="P2" s="3" t="n"/>
    </row>
    <row r="3" ht="63" customHeight="1">
      <c r="A3" s="8" t="inlineStr">
        <is>
          <t>EVENTS</t>
        </is>
      </c>
      <c r="B3" s="308" t="inlineStr">
        <is>
          <t xml:space="preserve">3PM-4:30PM FIRE WARDEN TRAINING  </t>
        </is>
      </c>
      <c r="C3" s="10" t="n"/>
      <c r="D3" s="9" t="n"/>
      <c r="E3" s="10" t="n"/>
      <c r="F3" s="9" t="n"/>
      <c r="G3" s="11" t="n"/>
      <c r="H3" s="311" t="inlineStr">
        <is>
          <t>Setup - coffee+ cookies 2 people - G floor MR - TAX CLINIC(10 TO 4PM)</t>
        </is>
      </c>
      <c r="I3" s="10" t="n"/>
      <c r="J3" s="309" t="inlineStr">
        <is>
          <t>FIRE DRILL 3-3:30PM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9a-4:30p</t>
        </is>
      </c>
      <c r="C4" s="18" t="n">
        <v>7.5</v>
      </c>
      <c r="D4" s="18" t="inlineStr">
        <is>
          <t>10a-7:30p off site</t>
        </is>
      </c>
      <c r="E4" s="18" t="n">
        <v>9.5</v>
      </c>
      <c r="F4" s="18" t="inlineStr">
        <is>
          <t>9:30a-6:30pm</t>
        </is>
      </c>
      <c r="G4" s="18" t="n">
        <v>9</v>
      </c>
      <c r="H4" s="18" t="inlineStr">
        <is>
          <t>9a-8pm</t>
        </is>
      </c>
      <c r="I4" s="18" t="n">
        <v>11</v>
      </c>
      <c r="J4" s="18" t="inlineStr">
        <is>
          <t>10a-4 (F-DRILL 3-3:30)</t>
        </is>
      </c>
      <c r="K4" s="18" t="n">
        <v>6</v>
      </c>
      <c r="L4" s="289" t="n"/>
      <c r="M4" s="18" t="n"/>
      <c r="N4" s="18" t="n"/>
      <c r="O4" s="18" t="n"/>
      <c r="P4" s="3">
        <f>SUM(O4,M4,K4,I4,G4,E4,C4)</f>
        <v/>
      </c>
    </row>
    <row r="5" ht="32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off site</t>
        </is>
      </c>
      <c r="E5" s="18" t="n">
        <v>8</v>
      </c>
      <c r="F5" s="18" t="inlineStr">
        <is>
          <t>9a-5</t>
        </is>
      </c>
      <c r="G5" s="18" t="n">
        <v>8</v>
      </c>
      <c r="H5" s="82" t="inlineStr">
        <is>
          <t>9a-5 (11a-4pm TR Michaela CC)</t>
        </is>
      </c>
      <c r="I5" s="18" t="n">
        <v>8</v>
      </c>
      <c r="J5" s="18" t="inlineStr">
        <is>
          <t>9a-5 (F-DRILL 3-3:30)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32" customHeight="1">
      <c r="A6" s="163" t="inlineStr">
        <is>
          <t>Pablo</t>
        </is>
      </c>
      <c r="B6" s="45" t="inlineStr">
        <is>
          <t xml:space="preserve">8a-10 f6/10a-2:30p w fran/ B2/ 3-5p FW TR </t>
        </is>
      </c>
      <c r="C6" s="48" t="n">
        <v>8.5</v>
      </c>
      <c r="D6" s="45" t="inlineStr">
        <is>
          <t>9a-2p set-up/ projs</t>
        </is>
      </c>
      <c r="E6" s="48" t="n">
        <v>5</v>
      </c>
      <c r="F6" s="135" t="inlineStr">
        <is>
          <t>sick</t>
        </is>
      </c>
      <c r="G6" s="48" t="n"/>
      <c r="H6" s="82" t="inlineStr">
        <is>
          <t>Sick</t>
        </is>
      </c>
      <c r="I6" s="48" t="n"/>
      <c r="J6" s="240" t="inlineStr">
        <is>
          <t>sick</t>
        </is>
      </c>
      <c r="K6" s="18" t="n"/>
      <c r="L6" s="56" t="n"/>
      <c r="M6" s="48" t="n"/>
      <c r="N6" s="45" t="n"/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56" t="inlineStr">
        <is>
          <t>7:45a-3:45p f6/ 4-4:30pm TR/ B@1</t>
        </is>
      </c>
      <c r="C7" s="48" t="n">
        <v>7.5</v>
      </c>
      <c r="D7" s="56" t="n"/>
      <c r="E7" s="48" t="n"/>
      <c r="F7" s="133" t="inlineStr">
        <is>
          <t>7:45a-12:15a f6 CC/ 3:30-4p f6CC</t>
        </is>
      </c>
      <c r="G7" s="48" t="n">
        <v>5</v>
      </c>
      <c r="H7" s="310" t="inlineStr">
        <is>
          <t>7:45a-3:15p f6 CC b@12:30</t>
        </is>
      </c>
      <c r="I7" s="48" t="n">
        <v>7</v>
      </c>
      <c r="J7" s="56" t="inlineStr">
        <is>
          <t>7:45a-3 f6CC/ FD 3-3:45 F6</t>
        </is>
      </c>
      <c r="K7" s="48" t="n">
        <v>7.5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32" customHeight="1">
      <c r="A8" s="128" t="inlineStr">
        <is>
          <t>Taran</t>
        </is>
      </c>
      <c r="B8" s="45" t="inlineStr">
        <is>
          <t>8a-4:30 f2 B@2:30 (3PM-4:30PM FW TR)</t>
        </is>
      </c>
      <c r="C8" s="48" t="n">
        <v>8</v>
      </c>
      <c r="D8" s="297" t="inlineStr">
        <is>
          <t>8a-3p f2</t>
        </is>
      </c>
      <c r="E8" s="48" t="n">
        <v>6.5</v>
      </c>
      <c r="F8" s="45" t="inlineStr">
        <is>
          <t>8a-4:30p f2 B@1</t>
        </is>
      </c>
      <c r="G8" s="48" t="n">
        <v>8</v>
      </c>
      <c r="H8" s="38" t="n"/>
      <c r="I8" s="48" t="n"/>
      <c r="J8" s="132" t="inlineStr">
        <is>
          <t>2:45p-5:45p Fire Drill + f2</t>
        </is>
      </c>
      <c r="K8" s="48" t="n">
        <v>3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10a-2p f6/ 2-2:30p GR/ 2:30-3 f6</t>
        </is>
      </c>
      <c r="C9" s="48" t="n">
        <v>4</v>
      </c>
      <c r="D9" s="48" t="n"/>
      <c r="E9" s="48" t="n"/>
      <c r="F9" s="38" t="n"/>
      <c r="G9" s="48" t="n"/>
      <c r="H9" s="48" t="inlineStr">
        <is>
          <t>10a-3p ground</t>
        </is>
      </c>
      <c r="I9" s="48" t="n">
        <v>5</v>
      </c>
      <c r="J9" s="48" t="inlineStr">
        <is>
          <t>10a-3p f2 (leave through stairwell)</t>
        </is>
      </c>
      <c r="K9" s="48" t="n">
        <v>5</v>
      </c>
      <c r="L9" s="48" t="n"/>
      <c r="M9" s="48" t="n"/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 xml:space="preserve">Sagar </t>
        </is>
      </c>
      <c r="B10" s="48" t="inlineStr">
        <is>
          <t>3pm-7:30pm f2 / closing</t>
        </is>
      </c>
      <c r="C10" s="48" t="n">
        <v>4.5</v>
      </c>
      <c r="D10" s="45" t="inlineStr">
        <is>
          <t>3p-7:30p f2</t>
        </is>
      </c>
      <c r="E10" s="48" t="n">
        <v>4.5</v>
      </c>
      <c r="F10" s="45" t="n"/>
      <c r="G10" s="48" t="n"/>
      <c r="H10" s="48" t="inlineStr">
        <is>
          <t xml:space="preserve">7:30a-11a f2/ B@11/11:30-6pm GROUND (11:30-12:30 ELEV) </t>
        </is>
      </c>
      <c r="I10" s="48" t="n">
        <v>10</v>
      </c>
      <c r="J10" s="38" t="n"/>
      <c r="K10" s="48" t="n"/>
      <c r="L10" s="48" t="inlineStr">
        <is>
          <t xml:space="preserve">8a-4p f2 </t>
        </is>
      </c>
      <c r="M10" s="48" t="n">
        <v>7.5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45" t="inlineStr">
        <is>
          <t xml:space="preserve">Mickaela </t>
        </is>
      </c>
      <c r="B11" s="101" t="inlineStr">
        <is>
          <t>2:30p-5:30 TR + clean</t>
        </is>
      </c>
      <c r="C11" s="48" t="n">
        <v>3</v>
      </c>
      <c r="D11" s="133" t="inlineStr">
        <is>
          <t>TR CC f6 8a-12 TR CC</t>
        </is>
      </c>
      <c r="E11" s="48" t="n">
        <v>4</v>
      </c>
      <c r="F11" s="60" t="inlineStr">
        <is>
          <t>TR CC f6 8a-6p</t>
        </is>
      </c>
      <c r="G11" s="48" t="n">
        <v>9.5</v>
      </c>
      <c r="H11" s="56" t="inlineStr">
        <is>
          <t>8a-10:30a w Pablo/ B@10:30/ 11a-4p TR w Aashima CC</t>
        </is>
      </c>
      <c r="I11" s="48" t="n">
        <v>7.5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 xml:space="preserve">3p-5p FW TR/ 5-6 clean </t>
        </is>
      </c>
      <c r="C12" s="48" t="n">
        <v>3</v>
      </c>
      <c r="D12" s="56" t="inlineStr">
        <is>
          <t>7:45a-4:45p f6CC</t>
        </is>
      </c>
      <c r="E12" s="48" t="n">
        <v>8.5</v>
      </c>
      <c r="F12" s="76" t="n"/>
      <c r="G12" s="48" t="n"/>
      <c r="H12" s="48" t="n"/>
      <c r="I12" s="48" t="n"/>
      <c r="J12" s="157" t="inlineStr">
        <is>
          <t>12p-7p CC f6 (FD 3-3:30 F6)</t>
        </is>
      </c>
      <c r="K12" s="48" t="n">
        <v>6.5</v>
      </c>
      <c r="L12" s="56" t="inlineStr">
        <is>
          <t>11a-7p CC f6 B@2:30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12:30p-6p ground B@2</t>
        </is>
      </c>
      <c r="C13" s="48" t="n">
        <v>5</v>
      </c>
      <c r="D13" s="48" t="inlineStr">
        <is>
          <t>12:30p-6p ground B@2</t>
        </is>
      </c>
      <c r="E13" s="48" t="n">
        <v>5</v>
      </c>
      <c r="F13" s="48" t="inlineStr">
        <is>
          <t>12:30p-6p ground B@1:30</t>
        </is>
      </c>
      <c r="G13" s="48" t="n">
        <v>5</v>
      </c>
      <c r="H13" s="48" t="n"/>
      <c r="I13" s="48" t="n"/>
      <c r="J13" s="56" t="n"/>
      <c r="K13" s="48" t="n"/>
      <c r="L13" s="48" t="inlineStr">
        <is>
          <t>12:30p-6p ground B@2:30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60" t="inlineStr">
        <is>
          <t>Anastasia B</t>
        </is>
      </c>
      <c r="B14" s="82" t="n"/>
      <c r="C14" s="18" t="n"/>
      <c r="D14" s="56" t="inlineStr">
        <is>
          <t>11a-7p CC f6 B@2:30</t>
        </is>
      </c>
      <c r="E14" s="48" t="n">
        <v>7.5</v>
      </c>
      <c r="F14" s="56" t="n"/>
      <c r="G14" s="48" t="n"/>
      <c r="H14" s="48" t="inlineStr">
        <is>
          <t>12p-7:30p f2/ closing</t>
        </is>
      </c>
      <c r="I14" s="48" t="n">
        <v>7</v>
      </c>
      <c r="J14" s="48" t="inlineStr">
        <is>
          <t>8a-11:30a f2/ B@11:30/ 12:30p-6p ground (FD 3-3:30 F6)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RO</t>
        </is>
      </c>
      <c r="C15" s="48" t="n"/>
      <c r="D15" s="56" t="n"/>
      <c r="E15" s="48" t="n"/>
      <c r="F15" s="48" t="inlineStr">
        <is>
          <t>10a-3 w fran</t>
        </is>
      </c>
      <c r="G15" s="48" t="n">
        <v>5</v>
      </c>
      <c r="H15" s="18" t="inlineStr">
        <is>
          <t>7:30a-11a f6 (set-up ground first) / w fran</t>
        </is>
      </c>
      <c r="I15" s="48" t="n">
        <v>3.5</v>
      </c>
      <c r="J15" s="50" t="inlineStr">
        <is>
          <t>Projs 9a-3p/ FD 3-3:30 F2/ 3:30-5p w fran</t>
        </is>
      </c>
      <c r="K15" s="18" t="n">
        <v>7.5</v>
      </c>
      <c r="L15" s="56" t="inlineStr">
        <is>
          <t>7:45a-3:15p f6CC</t>
        </is>
      </c>
      <c r="M15" s="48" t="n">
        <v>7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11a-7p CC f6 B@2:30</t>
        </is>
      </c>
      <c r="C16" s="48" t="n">
        <v>7.5</v>
      </c>
      <c r="D16" s="283" t="n"/>
      <c r="E16" s="48" t="n"/>
      <c r="F16" s="56" t="inlineStr">
        <is>
          <t>9a-7p CC f6 B@3:30</t>
        </is>
      </c>
      <c r="G16" s="48" t="n">
        <v>9.5</v>
      </c>
      <c r="H16" s="60" t="inlineStr">
        <is>
          <t>12pm-7p f6 CC B@3:30</t>
        </is>
      </c>
      <c r="I16" s="48" t="n">
        <v>6.5</v>
      </c>
      <c r="J16" s="56" t="inlineStr">
        <is>
          <t>WFH CC 2:45pm-4:45pm</t>
        </is>
      </c>
      <c r="K16" s="48" t="n">
        <v>2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 (ELEV 8a-8:45 / 11:15-12:15 )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</t>
        </is>
      </c>
      <c r="G18" s="48" t="n">
        <v>3.5</v>
      </c>
      <c r="H18" s="69" t="n"/>
      <c r="I18" s="48" t="n"/>
      <c r="J18" s="45" t="inlineStr">
        <is>
          <t>4p-7:30p f2</t>
        </is>
      </c>
      <c r="K18" s="48" t="n">
        <v>3.5</v>
      </c>
      <c r="L18" s="45" t="inlineStr">
        <is>
          <t>2:30p-3GR/ 3-7:30p f2</t>
        </is>
      </c>
      <c r="M18" s="48" t="n">
        <v>5</v>
      </c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Itohan 3</t>
        </is>
      </c>
      <c r="B19" s="69" t="n"/>
      <c r="C19" s="18" t="n"/>
      <c r="D19" s="82" t="inlineStr">
        <is>
          <t>11:30a-7:30p f2 TR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 xml:space="preserve"> 9a-3p f2/ FD 3-4 F6/ 4-5 f2</t>
        </is>
      </c>
      <c r="K19" s="18" t="n">
        <v>7.5</v>
      </c>
      <c r="L19" s="303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8" customHeight="1">
      <c r="A20" s="45" t="inlineStr">
        <is>
          <t>Faezah 3</t>
        </is>
      </c>
      <c r="B20" s="82" t="inlineStr">
        <is>
          <t>10:30a-7:30p f2/ closing (3-4:30p FW TR)</t>
        </is>
      </c>
      <c r="C20" s="18" t="n">
        <v>8.5</v>
      </c>
      <c r="D20" s="305" t="n"/>
      <c r="E20" s="18" t="n"/>
      <c r="F20" s="302" t="inlineStr">
        <is>
          <t>8a-3p f2 TR</t>
        </is>
      </c>
      <c r="G20" s="18" t="n">
        <v>6.5</v>
      </c>
      <c r="H20" s="304" t="n"/>
      <c r="I20" s="18" t="n"/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 xml:space="preserve"> </t>
        </is>
      </c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10" zoomScale="90" zoomScaleNormal="90" zoomScaleSheetLayoutView="100" workbookViewId="0">
      <selection activeCell="K5" sqref="K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10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46097</v>
      </c>
      <c r="C2" s="6" t="n"/>
      <c r="D2" s="5" t="n">
        <v>46098</v>
      </c>
      <c r="E2" s="6" t="n"/>
      <c r="F2" s="5" t="n">
        <v>46099</v>
      </c>
      <c r="G2" s="6" t="n"/>
      <c r="H2" s="5" t="n">
        <v>46100</v>
      </c>
      <c r="I2" s="6" t="n"/>
      <c r="J2" s="5" t="n">
        <v>46101</v>
      </c>
      <c r="K2" s="6" t="n"/>
      <c r="L2" s="5" t="n">
        <v>46102</v>
      </c>
      <c r="M2" s="6" t="n"/>
      <c r="N2" s="5" t="n">
        <v>46103</v>
      </c>
      <c r="O2" s="7" t="n"/>
      <c r="P2" s="3" t="n"/>
    </row>
    <row r="3" ht="32" customHeight="1">
      <c r="A3" s="8" t="inlineStr">
        <is>
          <t>EVENTS</t>
        </is>
      </c>
      <c r="B3" s="9" t="n"/>
      <c r="C3" s="10" t="n"/>
      <c r="D3" s="9" t="inlineStr">
        <is>
          <t>St. Patrick Day /11am-1pm/G floor</t>
        </is>
      </c>
      <c r="E3" s="10" t="n"/>
      <c r="F3" s="9" t="n"/>
      <c r="G3" s="11" t="n"/>
      <c r="H3" s="288" t="n"/>
      <c r="I3" s="10" t="n"/>
      <c r="J3" s="285" t="inlineStr">
        <is>
          <t>Rock your socks / G floor/11:30am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9a-5 wfh</t>
        </is>
      </c>
      <c r="C4" s="18" t="n">
        <v>8</v>
      </c>
      <c r="D4" s="18" t="inlineStr">
        <is>
          <t>9a-6p</t>
        </is>
      </c>
      <c r="E4" s="18" t="n">
        <v>9</v>
      </c>
      <c r="F4" s="18" t="inlineStr">
        <is>
          <t>10a-6:45p</t>
        </is>
      </c>
      <c r="G4" s="18" t="n">
        <v>7.75</v>
      </c>
      <c r="H4" s="18" t="inlineStr">
        <is>
          <t>10a-5:30p</t>
        </is>
      </c>
      <c r="I4" s="18" t="n">
        <v>7.5</v>
      </c>
      <c r="J4" s="18" t="inlineStr">
        <is>
          <t>9:30a-6:30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8:30a-4:30p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00.5" customHeight="1">
      <c r="A6" s="163" t="inlineStr">
        <is>
          <t>Pablo</t>
        </is>
      </c>
      <c r="B6" s="48" t="inlineStr">
        <is>
          <t>10a-4p f6</t>
        </is>
      </c>
      <c r="C6" s="48" t="n">
        <v>5.5</v>
      </c>
      <c r="D6" s="45" t="inlineStr">
        <is>
          <t>10a-2 event</t>
        </is>
      </c>
      <c r="E6" s="48" t="n">
        <v>4</v>
      </c>
      <c r="F6" s="157" t="inlineStr">
        <is>
          <t>4p-7p CC f6</t>
        </is>
      </c>
      <c r="G6" s="48" t="n">
        <v>3</v>
      </c>
      <c r="H6" s="297" t="inlineStr">
        <is>
          <t>12-3p w fran</t>
        </is>
      </c>
      <c r="I6" s="48" t="n">
        <v>3</v>
      </c>
      <c r="J6" s="45" t="inlineStr">
        <is>
          <t>9a-1p inv/1-1:30 f2/ 1:30B/ 2-2:30 ground</t>
        </is>
      </c>
      <c r="K6" s="48" t="n">
        <v>5</v>
      </c>
      <c r="L6" s="56" t="inlineStr">
        <is>
          <t>12p-12:30p f6/12:30-1 ground/ 1p-4f2/ B@4 / 4:30-6 f2/ 6-7 f2CC/ 7-7:30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8" t="n"/>
      <c r="C7" s="48" t="n"/>
      <c r="D7" s="48" t="inlineStr">
        <is>
          <t>7:45a-3:45a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7" t="inlineStr">
        <is>
          <t>7:45a-3:15 f6</t>
        </is>
      </c>
      <c r="I7" s="48" t="n">
        <v>7</v>
      </c>
      <c r="J7" s="48" t="inlineStr">
        <is>
          <t>8a-4p f2 B@1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8a-6p f2 B@2:30</t>
        </is>
      </c>
      <c r="C8" s="48" t="n">
        <v>9.5</v>
      </c>
      <c r="D8" s="297" t="inlineStr">
        <is>
          <t>9-3p f2</t>
        </is>
      </c>
      <c r="E8" s="48" t="n">
        <v>5.5</v>
      </c>
      <c r="F8" s="45" t="inlineStr">
        <is>
          <t>8a-4:30p f2</t>
        </is>
      </c>
      <c r="G8" s="48" t="n">
        <v>8</v>
      </c>
      <c r="H8" s="38" t="n"/>
      <c r="I8" s="48" t="n"/>
      <c r="J8" s="135" t="inlineStr">
        <is>
          <t>12:30p-6p ground</t>
        </is>
      </c>
      <c r="K8" s="48" t="n">
        <v>5</v>
      </c>
      <c r="L8" s="45" t="inlineStr">
        <is>
          <t>RO</t>
        </is>
      </c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5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11:30a-12:30p ELEV/ 10:30a-3p ground</t>
        </is>
      </c>
      <c r="I9" s="48" t="n">
        <v>4.5</v>
      </c>
      <c r="J9" s="198" t="inlineStr">
        <is>
          <t>RO</t>
        </is>
      </c>
      <c r="K9" s="48" t="n"/>
      <c r="L9" s="135" t="inlineStr">
        <is>
          <t>1-6p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28" t="inlineStr">
        <is>
          <t xml:space="preserve">Sagar </t>
        </is>
      </c>
      <c r="B10" s="48" t="inlineStr">
        <is>
          <t>2:30-3 f2/ 3-6 ground/ 6-7:30 f2 closing</t>
        </is>
      </c>
      <c r="C10" s="48" t="n">
        <v>5</v>
      </c>
      <c r="D10" s="45" t="inlineStr">
        <is>
          <t>1:30-2 ground/ 2-7:30 f2 closing</t>
        </is>
      </c>
      <c r="E10" s="48" t="n">
        <v>5.5</v>
      </c>
      <c r="F10" s="45" t="n"/>
      <c r="G10" s="48" t="n"/>
      <c r="H10" s="48" t="inlineStr">
        <is>
          <t>12:30p-7:30p f2 B@3:30</t>
        </is>
      </c>
      <c r="I10" s="48" t="n">
        <v>6.5</v>
      </c>
      <c r="J10" s="38" t="n"/>
      <c r="K10" s="48" t="n"/>
      <c r="L10" s="48" t="inlineStr">
        <is>
          <t>7:30a-12:30p ground</t>
        </is>
      </c>
      <c r="M10" s="48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45" t="inlineStr">
        <is>
          <t xml:space="preserve">Mickaela </t>
        </is>
      </c>
      <c r="B11" s="48" t="inlineStr">
        <is>
          <t>8a-1p f6 TRAIN w Pablo</t>
        </is>
      </c>
      <c r="C11" s="48" t="n">
        <v>5</v>
      </c>
      <c r="D11" s="48" t="inlineStr">
        <is>
          <t>4-7:30 TR w pablo closing</t>
        </is>
      </c>
      <c r="E11" s="48" t="n">
        <v>3.5</v>
      </c>
      <c r="F11" s="45" t="inlineStr">
        <is>
          <t>12p-5p f6 Train</t>
        </is>
      </c>
      <c r="G11" s="48" t="n">
        <v>5</v>
      </c>
      <c r="H11" s="48" t="inlineStr">
        <is>
          <t>11a-2:30 f2/B@2:30/ 3p-6p ground</t>
        </is>
      </c>
      <c r="I11" s="48" t="n">
        <v>7.5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Q11" t="inlineStr">
        <is>
          <t xml:space="preserve">  </t>
        </is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n"/>
      <c r="C12" s="48" t="n"/>
      <c r="D12" s="82" t="inlineStr">
        <is>
          <t>10a-7p CC f6 B@2</t>
        </is>
      </c>
      <c r="E12" s="18" t="n">
        <v>8.5</v>
      </c>
      <c r="F12" s="90" t="inlineStr">
        <is>
          <t>8a-12p f6CC</t>
        </is>
      </c>
      <c r="G12" s="48" t="n">
        <v>4</v>
      </c>
      <c r="H12" s="56" t="inlineStr">
        <is>
          <t>1p-7p CC f6 B@2:30</t>
        </is>
      </c>
      <c r="I12" s="48" t="n">
        <v>5.5</v>
      </c>
      <c r="J12" s="157" t="inlineStr">
        <is>
          <t>RO</t>
        </is>
      </c>
      <c r="K12" s="48" t="n"/>
      <c r="L12" s="56" t="inlineStr">
        <is>
          <t>8a-6p CC f6 B@12</t>
        </is>
      </c>
      <c r="M12" s="48" t="n">
        <v>9.5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56" t="n"/>
      <c r="C13" s="48" t="n"/>
      <c r="D13" s="56" t="inlineStr">
        <is>
          <t>12:30p-6p ground/ B@1:30</t>
        </is>
      </c>
      <c r="E13" s="48" t="n">
        <v>5</v>
      </c>
      <c r="F13" s="56" t="inlineStr">
        <is>
          <t>12:30p-6p ground/ B@2</t>
        </is>
      </c>
      <c r="G13" s="48" t="n">
        <v>5</v>
      </c>
      <c r="H13" s="60" t="inlineStr">
        <is>
          <t>RO</t>
        </is>
      </c>
      <c r="I13" s="45" t="n"/>
      <c r="J13" s="60" t="inlineStr">
        <is>
          <t>RO</t>
        </is>
      </c>
      <c r="K13" s="48" t="n"/>
      <c r="L13" s="60" t="inlineStr">
        <is>
          <t>RO</t>
        </is>
      </c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3.75" customHeight="1">
      <c r="A14" s="60" t="inlineStr">
        <is>
          <t>Anastasia B</t>
        </is>
      </c>
      <c r="B14" s="82" t="inlineStr">
        <is>
          <t>10a-7p CC f6 B@2</t>
        </is>
      </c>
      <c r="C14" s="18" t="n">
        <v>8.5</v>
      </c>
      <c r="D14" s="56" t="inlineStr">
        <is>
          <t>8a-3p f2CC B@1</t>
        </is>
      </c>
      <c r="E14" s="48" t="n">
        <v>6.5</v>
      </c>
      <c r="F14" s="56" t="n"/>
      <c r="G14" s="48" t="n"/>
      <c r="H14" s="48" t="inlineStr">
        <is>
          <t>8a-4p f2 B@12:30</t>
        </is>
      </c>
      <c r="I14" s="48" t="n">
        <v>7.5</v>
      </c>
      <c r="J14" s="168" t="inlineStr">
        <is>
          <t>10-11:15 Training/ 11:15 to 12:00 G floor/ 12p-7p CC f6 B@2:30</t>
        </is>
      </c>
      <c r="K14" s="48" t="n">
        <v>8.5</v>
      </c>
      <c r="L14" s="56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8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n"/>
      <c r="E15" s="48" t="n"/>
      <c r="F15" s="45" t="inlineStr">
        <is>
          <t>10a-2p w fran/2-2:30 ground</t>
        </is>
      </c>
      <c r="G15" s="48" t="n">
        <v>4.5</v>
      </c>
      <c r="H15" s="45" t="n"/>
      <c r="I15" s="48" t="n"/>
      <c r="J15" s="45" t="inlineStr">
        <is>
          <t>9a-2p inv</t>
        </is>
      </c>
      <c r="K15" s="48" t="n">
        <v>5</v>
      </c>
      <c r="L15" s="56" t="inlineStr">
        <is>
          <t>7:45a-1pCC f2/ B@1/ 1:30-4 setup/ 4-4:45 f2</t>
        </is>
      </c>
      <c r="M15" s="48" t="n">
        <v>8.5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8a-3p f2CC B@1</t>
        </is>
      </c>
      <c r="C16" s="48" t="n">
        <v>6.5</v>
      </c>
      <c r="D16" s="283" t="n"/>
      <c r="E16" s="48" t="n"/>
      <c r="F16" s="56" t="inlineStr">
        <is>
          <t>11a-4p f6CC</t>
        </is>
      </c>
      <c r="G16" s="48" t="n">
        <v>5</v>
      </c>
      <c r="H16" s="56" t="inlineStr">
        <is>
          <t>8a-3p f2CC B@1</t>
        </is>
      </c>
      <c r="I16" s="48" t="n">
        <v>6.5</v>
      </c>
      <c r="J16" s="56" t="inlineStr">
        <is>
          <t>8a-3p f6CC B@1</t>
        </is>
      </c>
      <c r="K16" s="48" t="n">
        <v>6.5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48" customHeight="1">
      <c r="A17" s="45" t="inlineStr">
        <is>
          <t>Francisco C</t>
        </is>
      </c>
      <c r="B17" s="45" t="inlineStr">
        <is>
          <t>7:30a-3p ground (ELEV 8a-8:45 / 11:15-12:15 )</t>
        </is>
      </c>
      <c r="C17" s="48" t="n">
        <v>7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inlineStr">
        <is>
          <t>7:30a-10:30a ground (ELEV 8a-8:45 )</t>
        </is>
      </c>
      <c r="I17" s="48" t="n">
        <v>3</v>
      </c>
      <c r="J17" s="45" t="inlineStr">
        <is>
          <t>7:30a-12:30p ground (ELEV 8a-8:45 / 11:15-12:15 )</t>
        </is>
      </c>
      <c r="K17" s="18" t="n">
        <v>5</v>
      </c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4-4:30 quiz w Taran/ 4:30-7:30 f2 closing</t>
        </is>
      </c>
      <c r="G18" s="48" t="n">
        <v>3.5</v>
      </c>
      <c r="H18" s="69" t="n"/>
      <c r="I18" s="48" t="n"/>
      <c r="J18" s="82" t="inlineStr">
        <is>
          <t>1p-3p w Adonis/ B@3/ 4p-7:30p f2 closing</t>
        </is>
      </c>
      <c r="K18" s="18" t="n">
        <v>6</v>
      </c>
      <c r="L18" s="45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9" customHeight="1">
      <c r="A19" s="45" t="inlineStr">
        <is>
          <t>Itohan 2</t>
        </is>
      </c>
      <c r="B19" s="69" t="n"/>
      <c r="C19" s="18" t="n"/>
      <c r="D19" s="82" t="n"/>
      <c r="E19" s="18" t="n"/>
      <c r="F19" s="149" t="n"/>
      <c r="G19" s="18" t="n"/>
      <c r="H19" s="307" t="inlineStr">
        <is>
          <t>4p-7:30p TR w Sagar</t>
        </is>
      </c>
      <c r="I19" s="18" t="n">
        <v>3.5</v>
      </c>
      <c r="J19" s="306" t="inlineStr">
        <is>
          <t>TR inventory 9a-2p</t>
        </is>
      </c>
      <c r="K19" s="18" t="n">
        <v>5</v>
      </c>
      <c r="L19" s="85" t="inlineStr">
        <is>
          <t>8a-3p TR w Daria</t>
        </is>
      </c>
      <c r="M19" s="18" t="n">
        <v>6.5</v>
      </c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32" customHeight="1">
      <c r="A20" s="45" t="inlineStr">
        <is>
          <t>Faezah</t>
        </is>
      </c>
      <c r="B20" s="82" t="inlineStr">
        <is>
          <t>8a-1p f2 TR w Taran</t>
        </is>
      </c>
      <c r="C20" s="18" t="n">
        <v>5</v>
      </c>
      <c r="D20" s="305" t="inlineStr">
        <is>
          <t>8a-10a f2/ 10a-12p w pablo</t>
        </is>
      </c>
      <c r="E20" s="18" t="n">
        <v>4</v>
      </c>
      <c r="F20" s="302" t="n"/>
      <c r="G20" s="18" t="n"/>
      <c r="H20" s="304" t="inlineStr">
        <is>
          <t>8a-2:30 f6 TR w Kavya B@12:30</t>
        </is>
      </c>
      <c r="I20" s="18" t="n">
        <v>6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3.75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 xml:space="preserve"> </t>
        </is>
      </c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6" zoomScale="70" zoomScaleNormal="70" workbookViewId="0">
      <selection activeCell="Q28" sqref="Q28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6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46090</v>
      </c>
      <c r="C2" s="6" t="n"/>
      <c r="D2" s="5" t="n">
        <v>46091</v>
      </c>
      <c r="E2" s="6" t="n"/>
      <c r="F2" s="5" t="n">
        <v>46092</v>
      </c>
      <c r="G2" s="6" t="n"/>
      <c r="H2" s="5" t="n">
        <v>46093</v>
      </c>
      <c r="I2" s="6" t="n"/>
      <c r="J2" s="5" t="n">
        <v>46094</v>
      </c>
      <c r="K2" s="6" t="n"/>
      <c r="L2" s="5" t="n">
        <v>46095</v>
      </c>
      <c r="M2" s="6" t="n"/>
      <c r="N2" s="5" t="n">
        <v>46096</v>
      </c>
      <c r="O2" s="7" t="n"/>
      <c r="P2" s="3" t="n"/>
    </row>
    <row r="3" ht="80" customHeight="1">
      <c r="A3" s="8" t="inlineStr">
        <is>
          <t>EVENTS</t>
        </is>
      </c>
      <c r="B3" s="9" t="n"/>
      <c r="C3" s="10" t="n"/>
      <c r="D3" s="62" t="inlineStr">
        <is>
          <t>Just for fun celebration/ G floor/ 11 to1 pm</t>
        </is>
      </c>
      <c r="E3" s="10" t="n"/>
      <c r="F3" s="62" t="inlineStr">
        <is>
          <t>Water Coolers removed from 80 Bloor 9a-1pm   / WC's  installed at 655 staff kitchens 1p-4pm</t>
        </is>
      </c>
      <c r="G3" s="11" t="n"/>
      <c r="H3" s="288" t="inlineStr">
        <is>
          <t>Women's day / 11-12:30 GROUND +Lunch</t>
        </is>
      </c>
      <c r="I3" s="10" t="n"/>
      <c r="J3" s="285" t="inlineStr">
        <is>
          <t xml:space="preserve">setup G floor MR's - Shradha Business Cons. </t>
        </is>
      </c>
      <c r="K3" s="10" t="n"/>
      <c r="L3" s="9" t="inlineStr">
        <is>
          <t>Power shutdown midnight 1HR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9:30a-6p</t>
        </is>
      </c>
      <c r="C4" s="18" t="n">
        <v>8.5</v>
      </c>
      <c r="D4" s="18" t="inlineStr">
        <is>
          <t>9-4:30p</t>
        </is>
      </c>
      <c r="E4" s="18" t="n">
        <v>7.5</v>
      </c>
      <c r="F4" s="18" t="inlineStr">
        <is>
          <t>Lieu used</t>
        </is>
      </c>
      <c r="G4" s="18" t="n">
        <v>5.5</v>
      </c>
      <c r="H4" s="18" t="inlineStr">
        <is>
          <t>10a-7:30p</t>
        </is>
      </c>
      <c r="I4" s="18" t="n">
        <v>9.5</v>
      </c>
      <c r="J4" s="18" t="inlineStr">
        <is>
          <t>9a-1p</t>
        </is>
      </c>
      <c r="K4" s="18" t="n">
        <v>4</v>
      </c>
      <c r="L4" s="289" t="inlineStr">
        <is>
          <t>5 hrs wfh on march 8</t>
        </is>
      </c>
      <c r="M4" s="18" t="n">
        <v>5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>
      <c r="A6" s="163" t="inlineStr">
        <is>
          <t>Pablo</t>
        </is>
      </c>
      <c r="B6" s="45" t="inlineStr">
        <is>
          <t>11:30a-3 set-up/ 3-7:30p f2</t>
        </is>
      </c>
      <c r="C6" s="48" t="n">
        <v>7.5</v>
      </c>
      <c r="D6" s="45" t="inlineStr">
        <is>
          <t>11:30a-4 set-up for Women's day/ 4-7:30p f2</t>
        </is>
      </c>
      <c r="E6" s="48" t="n">
        <v>7.5</v>
      </c>
      <c r="F6" s="157" t="inlineStr">
        <is>
          <t>12p-4p CC f6</t>
        </is>
      </c>
      <c r="G6" s="48" t="n">
        <v>4</v>
      </c>
      <c r="H6" s="297" t="inlineStr">
        <is>
          <t>7:30a-10a ground/ 10-2p event (Elev 8a-8:40)</t>
        </is>
      </c>
      <c r="I6" s="48" t="n">
        <v>6</v>
      </c>
      <c r="J6" s="45" t="inlineStr">
        <is>
          <t>10a-2p w Fran</t>
        </is>
      </c>
      <c r="K6" s="48" t="n">
        <v>4</v>
      </c>
      <c r="L6" s="56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n"/>
      <c r="C7" s="48" t="n"/>
      <c r="D7" s="48" t="inlineStr">
        <is>
          <t>7:45a-3p f6/ 3-4 f2</t>
        </is>
      </c>
      <c r="E7" s="48" t="n">
        <v>7.75</v>
      </c>
      <c r="F7" s="155" t="inlineStr">
        <is>
          <t>7:45a-12p 6f</t>
        </is>
      </c>
      <c r="G7" s="48" t="n">
        <v>4.25</v>
      </c>
      <c r="H7" s="297" t="inlineStr">
        <is>
          <t>7:45a-1p f6/ B@1/ 1:30-2:30 set-up/ 2:30-3:15 f6</t>
        </is>
      </c>
      <c r="I7" s="48" t="n">
        <v>7</v>
      </c>
      <c r="J7" s="48" t="inlineStr">
        <is>
          <t>7:45a-12:45p f2</t>
        </is>
      </c>
      <c r="K7" s="48" t="n">
        <v>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5" t="inlineStr">
        <is>
          <t>8a-3p f2</t>
        </is>
      </c>
      <c r="C8" s="48" t="n">
        <v>6.5</v>
      </c>
      <c r="D8" s="302" t="inlineStr">
        <is>
          <t>8a-3p f2</t>
        </is>
      </c>
      <c r="E8" s="48" t="n">
        <v>6.5</v>
      </c>
      <c r="F8" s="45" t="inlineStr">
        <is>
          <t>8a-4p f2</t>
        </is>
      </c>
      <c r="G8" s="48" t="n">
        <v>7.5</v>
      </c>
      <c r="H8" s="38" t="n"/>
      <c r="I8" s="48" t="n"/>
      <c r="J8" s="45" t="inlineStr">
        <is>
          <t>12p-4/ 4-5 TR JC f2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inlineStr">
        <is>
          <t>11a-3pm ground</t>
        </is>
      </c>
      <c r="C9" s="48" t="n">
        <v>4</v>
      </c>
      <c r="D9" s="48" t="inlineStr">
        <is>
          <t>10a-3pm ground</t>
        </is>
      </c>
      <c r="E9" s="48" t="n">
        <v>5</v>
      </c>
      <c r="F9" s="38" t="n"/>
      <c r="G9" s="48" t="n"/>
      <c r="H9" s="48" t="inlineStr">
        <is>
          <t>10a-3pm ground (ELEV 11:15-12:15 )</t>
        </is>
      </c>
      <c r="I9" s="48" t="n">
        <v>5</v>
      </c>
      <c r="J9" s="48" t="inlineStr">
        <is>
          <t>10a-3p help Daria INV</t>
        </is>
      </c>
      <c r="K9" s="48" t="n">
        <v>5</v>
      </c>
      <c r="L9" s="135" t="inlineStr">
        <is>
          <t>12:30p-6p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inlineStr">
        <is>
          <t>7:45a-3:45p f6</t>
        </is>
      </c>
      <c r="C10" s="48" t="n">
        <v>7.5</v>
      </c>
      <c r="D10" s="45" t="n"/>
      <c r="E10" s="48" t="n"/>
      <c r="F10" s="45" t="inlineStr">
        <is>
          <t>1-4p set-up</t>
        </is>
      </c>
      <c r="G10" s="48" t="n">
        <v>3</v>
      </c>
      <c r="H10" s="45" t="inlineStr">
        <is>
          <t>11a-7:30p f2 B@2:30p</t>
        </is>
      </c>
      <c r="I10" s="48" t="n">
        <v>8</v>
      </c>
      <c r="J10" s="38" t="n"/>
      <c r="K10" s="48" t="n"/>
      <c r="L10" s="45" t="inlineStr">
        <is>
          <t>8a-6p f2 B@1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16" customHeight="1">
      <c r="A11" s="45" t="inlineStr">
        <is>
          <t xml:space="preserve">Mickaela </t>
        </is>
      </c>
      <c r="B11" s="56" t="inlineStr">
        <is>
          <t>CCTR w 8a-1p f6</t>
        </is>
      </c>
      <c r="C11" s="48" t="n">
        <v>5</v>
      </c>
      <c r="D11" s="213" t="inlineStr">
        <is>
          <t>CCTR w 8a-12p f6</t>
        </is>
      </c>
      <c r="E11" s="48" t="n">
        <v>4</v>
      </c>
      <c r="F11" s="56" t="inlineStr">
        <is>
          <t>CCTR w 8a-1p f6</t>
        </is>
      </c>
      <c r="G11" s="48" t="n">
        <v>5</v>
      </c>
      <c r="H11" s="48" t="inlineStr">
        <is>
          <t>RO</t>
        </is>
      </c>
      <c r="I11" s="48" t="n"/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Viviana B</t>
        </is>
      </c>
      <c r="B12" s="56" t="inlineStr">
        <is>
          <t>8a-4p f6CC B@12</t>
        </is>
      </c>
      <c r="C12" s="48" t="n">
        <v>7.5</v>
      </c>
      <c r="D12" s="56" t="inlineStr">
        <is>
          <t>11a-7p f6 CC</t>
        </is>
      </c>
      <c r="E12" s="48" t="n">
        <v>7.5</v>
      </c>
      <c r="F12" s="90" t="inlineStr">
        <is>
          <t>8a-12p f2 CC</t>
        </is>
      </c>
      <c r="G12" s="48" t="n">
        <v>4</v>
      </c>
      <c r="H12" s="48" t="inlineStr">
        <is>
          <t>8a-12p f2</t>
        </is>
      </c>
      <c r="I12" s="48" t="n">
        <v>4</v>
      </c>
      <c r="J12" s="135" t="inlineStr">
        <is>
          <t>12:30p- 6p ground</t>
        </is>
      </c>
      <c r="K12" s="48" t="n">
        <v>5</v>
      </c>
      <c r="L12" s="60" t="inlineStr">
        <is>
          <t>RO</t>
        </is>
      </c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48" t="inlineStr">
        <is>
          <t>12:30p- 6p ground B@2</t>
        </is>
      </c>
      <c r="C13" s="48" t="n">
        <v>5</v>
      </c>
      <c r="D13" s="48" t="inlineStr">
        <is>
          <t>12:30p- 6p ground B@2</t>
        </is>
      </c>
      <c r="E13" s="48" t="n">
        <v>5</v>
      </c>
      <c r="F13" s="48" t="inlineStr">
        <is>
          <t>12:30p- 6p ground</t>
        </is>
      </c>
      <c r="G13" s="48" t="n">
        <v>5</v>
      </c>
      <c r="H13" s="48" t="inlineStr">
        <is>
          <t>1-2:30 f6/2:30-3p f2/3p-6p ground</t>
        </is>
      </c>
      <c r="I13" s="48" t="n">
        <v>5</v>
      </c>
      <c r="J13" s="48" t="n"/>
      <c r="K13" s="48" t="n"/>
      <c r="L13" s="97" t="inlineStr">
        <is>
          <t>8a-4p f6CC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82" t="n"/>
      <c r="C14" s="18" t="n"/>
      <c r="D14" s="56" t="inlineStr">
        <is>
          <t>8a-4p f6CC B@12</t>
        </is>
      </c>
      <c r="E14" s="48" t="n">
        <v>7.5</v>
      </c>
      <c r="F14" s="240" t="inlineStr">
        <is>
          <t>3p-7:30p f2 JC</t>
        </is>
      </c>
      <c r="G14" s="48" t="n">
        <v>3.5</v>
      </c>
      <c r="H14" s="56" t="inlineStr">
        <is>
          <t>8a-4p f6CC B@12</t>
        </is>
      </c>
      <c r="I14" s="48" t="n">
        <v>7.5</v>
      </c>
      <c r="J14" s="56" t="inlineStr">
        <is>
          <t>8a-4p f6CC B@12</t>
        </is>
      </c>
      <c r="K14" s="48" t="n">
        <v>7.5</v>
      </c>
      <c r="L14" s="56" t="inlineStr">
        <is>
          <t>11a-7p f6 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inlineStr">
        <is>
          <t>10a-3p w fran</t>
        </is>
      </c>
      <c r="E15" s="48" t="n">
        <v>5</v>
      </c>
      <c r="F15" s="45" t="inlineStr">
        <is>
          <t>10a-5p w fran</t>
        </is>
      </c>
      <c r="G15" s="48" t="n">
        <v>6.5</v>
      </c>
      <c r="H15" s="76" t="n"/>
      <c r="I15" s="48" t="n"/>
      <c r="J15" s="45" t="inlineStr">
        <is>
          <t>9a-5p inv</t>
        </is>
      </c>
      <c r="K15" s="48" t="n">
        <v>7.5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12p-7p f6 CC B@3:30</t>
        </is>
      </c>
      <c r="C16" s="48" t="n">
        <v>6.5</v>
      </c>
      <c r="D16" s="283" t="n"/>
      <c r="E16" s="48" t="n"/>
      <c r="F16" s="56" t="inlineStr">
        <is>
          <t>11a-7p f6 CC B@3:30</t>
        </is>
      </c>
      <c r="G16" s="48" t="n">
        <v>7.5</v>
      </c>
      <c r="H16" s="56" t="inlineStr">
        <is>
          <t>11a-7p f6 CC B@3:30</t>
        </is>
      </c>
      <c r="I16" s="48" t="n">
        <v>7.5</v>
      </c>
      <c r="J16" s="56" t="inlineStr">
        <is>
          <t>10a-7p f6 CC B@3:30</t>
        </is>
      </c>
      <c r="K16" s="48" t="n">
        <v>8.5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96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 TRAIN w Anastasia</t>
        </is>
      </c>
      <c r="G18" s="48" t="n">
        <v>3.5</v>
      </c>
      <c r="H18" s="69" t="n"/>
      <c r="I18" s="48" t="n"/>
      <c r="J18" s="82" t="inlineStr">
        <is>
          <t>4p-7:30pm f2/ closing</t>
        </is>
      </c>
      <c r="K18" s="18" t="n">
        <v>3.5</v>
      </c>
      <c r="L18" s="45" t="inlineStr">
        <is>
          <t>TR w Anastasia 11a-5:30/B@5:30/ 6-7p f2 closing (cover Sagar's Break @1pm)</t>
        </is>
      </c>
      <c r="M18" s="48" t="n">
        <v>7.5</v>
      </c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Itohan 1</t>
        </is>
      </c>
      <c r="B19" s="69" t="n"/>
      <c r="C19" s="18" t="n"/>
      <c r="D19" s="82" t="inlineStr">
        <is>
          <t>10:30a-11:30w fran/ 11:30-7:30p w Pablo</t>
        </is>
      </c>
      <c r="E19" s="18" t="n">
        <v>8.5</v>
      </c>
      <c r="F19" s="302" t="n"/>
      <c r="G19" s="18" t="n"/>
      <c r="H19" s="303" t="n"/>
      <c r="I19" s="18" t="n"/>
      <c r="J19" s="304" t="inlineStr">
        <is>
          <t>8a-12p TR f2 w Kavya/ 12-3p TRf2 w Taran</t>
        </is>
      </c>
      <c r="K19" s="18" t="n">
        <v>6.5</v>
      </c>
      <c r="L19" s="303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8" customHeight="1">
      <c r="A20" s="45" t="inlineStr">
        <is>
          <t>Faezah</t>
        </is>
      </c>
      <c r="B20" s="82" t="inlineStr">
        <is>
          <t>11:30a-12:30p w fran/ 12:30-7:30p w Pablo</t>
        </is>
      </c>
      <c r="C20" s="18" t="n">
        <v>7.5</v>
      </c>
      <c r="D20" s="305" t="n"/>
      <c r="E20" s="18" t="n"/>
      <c r="F20" s="304" t="inlineStr">
        <is>
          <t>7:45a-3:45p (ELEV 8a-8:45 / 11:15-12:15 )</t>
        </is>
      </c>
      <c r="G20" s="18" t="n">
        <v>7.5</v>
      </c>
      <c r="H20" s="302" t="n"/>
      <c r="I20" s="18" t="n"/>
      <c r="J20" s="273" t="n"/>
      <c r="K20" s="18" t="n"/>
      <c r="L20" s="273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 xml:space="preserve"> </t>
        </is>
      </c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P22" sqref="P22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6.664062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46083</v>
      </c>
      <c r="C2" s="6" t="n"/>
      <c r="D2" s="5" t="n">
        <v>46084</v>
      </c>
      <c r="E2" s="6" t="n"/>
      <c r="F2" s="5" t="n">
        <v>46085</v>
      </c>
      <c r="G2" s="6" t="n"/>
      <c r="H2" s="5" t="n">
        <v>46086</v>
      </c>
      <c r="I2" s="6" t="n"/>
      <c r="J2" s="5" t="n">
        <v>46087</v>
      </c>
      <c r="K2" s="6" t="n"/>
      <c r="L2" s="5" t="n">
        <v>46088</v>
      </c>
      <c r="M2" s="6" t="n"/>
      <c r="N2" s="5" t="n">
        <v>46089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READING WEEK</t>
        </is>
      </c>
      <c r="C3" s="10" t="n"/>
      <c r="D3" s="9" t="inlineStr">
        <is>
          <t>READING WEEK /                    OPS INT Fire drill 10:15-11am f2 desk</t>
        </is>
      </c>
      <c r="E3" s="10" t="n"/>
      <c r="F3" s="9" t="inlineStr">
        <is>
          <t>First Day of Class/ Holi event 4-7 GF</t>
        </is>
      </c>
      <c r="G3" s="11" t="n"/>
      <c r="H3" s="288" t="n"/>
      <c r="I3" s="10" t="n"/>
      <c r="J3" s="285" t="inlineStr">
        <is>
          <t>Faculty meet : 10to1 /210 + OPS TEAM Celebration 2:30-4pm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294" t="inlineStr">
        <is>
          <t>wfh 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10a-6:30p</t>
        </is>
      </c>
      <c r="G4" s="18" t="n">
        <v>8.5</v>
      </c>
      <c r="H4" s="18" t="inlineStr">
        <is>
          <t>9:30a-6p</t>
        </is>
      </c>
      <c r="I4" s="18" t="n">
        <v>8.5</v>
      </c>
      <c r="J4" s="18" t="inlineStr">
        <is>
          <t>9a-5</t>
        </is>
      </c>
      <c r="K4" s="18" t="n">
        <v>8</v>
      </c>
      <c r="L4" s="289" t="n"/>
      <c r="M4" s="18" t="n"/>
      <c r="N4" s="18" t="inlineStr">
        <is>
          <t>wfh 5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inlineStr">
        <is>
          <t>sick</t>
        </is>
      </c>
      <c r="C5" s="18" t="n">
        <v>8</v>
      </c>
      <c r="D5" s="18" t="inlineStr">
        <is>
          <t>wfh 9-5</t>
        </is>
      </c>
      <c r="E5" s="18" t="n">
        <v>8</v>
      </c>
      <c r="F5" s="18" t="inlineStr">
        <is>
          <t>wfh 9-5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16" customHeight="1">
      <c r="A6" s="163" t="inlineStr">
        <is>
          <t>Pablo</t>
        </is>
      </c>
      <c r="B6" s="45" t="inlineStr">
        <is>
          <t>RO</t>
        </is>
      </c>
      <c r="C6" s="48" t="n"/>
      <c r="D6" s="45" t="inlineStr">
        <is>
          <t>RO</t>
        </is>
      </c>
      <c r="E6" s="48" t="n"/>
      <c r="F6" s="135" t="inlineStr">
        <is>
          <t>RO</t>
        </is>
      </c>
      <c r="G6" s="48" t="n"/>
      <c r="H6" s="297" t="n"/>
      <c r="I6" s="48" t="n"/>
      <c r="J6" s="45" t="inlineStr">
        <is>
          <t>1-6pm set-up</t>
        </is>
      </c>
      <c r="K6" s="48" t="n">
        <v>5</v>
      </c>
      <c r="L6" s="56" t="inlineStr">
        <is>
          <t>9-7p f6 CC B@1</t>
        </is>
      </c>
      <c r="M6" s="48" t="n">
        <v>9.5</v>
      </c>
      <c r="N6" s="45" t="n"/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56" t="n"/>
      <c r="C7" s="48" t="n"/>
      <c r="D7" s="56" t="inlineStr">
        <is>
          <t>7:45a-3:45p f6 CC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7:45a-3:15p f6</t>
        </is>
      </c>
      <c r="I7" s="48" t="n">
        <v>7.5</v>
      </c>
      <c r="J7" s="56" t="inlineStr">
        <is>
          <t>7:45a-2:45p f6 CC</t>
        </is>
      </c>
      <c r="K7" s="48" t="n">
        <v>6.5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80" customHeight="1">
      <c r="A8" s="128" t="inlineStr">
        <is>
          <t>Taran</t>
        </is>
      </c>
      <c r="B8" s="45" t="inlineStr">
        <is>
          <t>7:45a-4:15p f2</t>
        </is>
      </c>
      <c r="C8" s="48" t="n">
        <v>8</v>
      </c>
      <c r="D8" s="48" t="inlineStr">
        <is>
          <t>RO</t>
        </is>
      </c>
      <c r="E8" s="48" t="n"/>
      <c r="F8" s="48" t="inlineStr">
        <is>
          <t>RO</t>
        </is>
      </c>
      <c r="G8" s="48" t="n"/>
      <c r="H8" s="38" t="n"/>
      <c r="I8" s="48" t="n"/>
      <c r="J8" s="45" t="inlineStr">
        <is>
          <t>11a-2 f2/B@2:30/3-6 ground/ 6-7:30p closing</t>
        </is>
      </c>
      <c r="K8" s="48" t="n">
        <v>8</v>
      </c>
      <c r="L8" s="45" t="inlineStr">
        <is>
          <t>11a-12p GF ELEV/ 12-5:30 f2/ B@4/5:30-6 ground/ 6- 7:30 closing</t>
        </is>
      </c>
      <c r="M8" s="48" t="n">
        <v>8</v>
      </c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48" t="n"/>
      <c r="C9" s="48" t="n"/>
      <c r="D9" s="50" t="inlineStr">
        <is>
          <t>10a-1p TR f2</t>
        </is>
      </c>
      <c r="E9" s="48" t="n">
        <v>3</v>
      </c>
      <c r="F9" s="38" t="n"/>
      <c r="G9" s="48" t="n"/>
      <c r="H9" s="48" t="inlineStr">
        <is>
          <t>10:30a-3p ground</t>
        </is>
      </c>
      <c r="I9" s="48" t="n">
        <v>4.5</v>
      </c>
      <c r="J9" s="48" t="inlineStr">
        <is>
          <t>10:30a-3p ground 11a-12p GF ELEV</t>
        </is>
      </c>
      <c r="K9" s="48" t="n">
        <v>4.5</v>
      </c>
      <c r="L9" s="135" t="inlineStr">
        <is>
          <t>12:30p-5:30p ground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n"/>
      <c r="C10" s="48" t="n"/>
      <c r="D10" s="45" t="inlineStr">
        <is>
          <t>8a-4p f2</t>
        </is>
      </c>
      <c r="E10" s="48" t="inlineStr">
        <is>
          <t>7.5.</t>
        </is>
      </c>
      <c r="F10" s="45" t="inlineStr">
        <is>
          <t>10A-4:30pm f2</t>
        </is>
      </c>
      <c r="G10" s="48" t="n">
        <v>6</v>
      </c>
      <c r="H10" s="48" t="inlineStr">
        <is>
          <t>7:45a-4:15p f2</t>
        </is>
      </c>
      <c r="I10" s="48" t="n">
        <v>8</v>
      </c>
      <c r="J10" s="38" t="n"/>
      <c r="K10" s="48" t="n"/>
      <c r="L10" s="48" t="inlineStr">
        <is>
          <t>8a-6pm B@4:30</t>
        </is>
      </c>
      <c r="M10" s="48" t="n">
        <v>9.5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45" t="inlineStr">
        <is>
          <t xml:space="preserve">Mickaela </t>
        </is>
      </c>
      <c r="B11" s="48" t="inlineStr">
        <is>
          <t>8a-4p GROUND (close ground @4)</t>
        </is>
      </c>
      <c r="C11" s="48" t="n">
        <v>7.5</v>
      </c>
      <c r="D11" s="48" t="inlineStr">
        <is>
          <t>8a-4p GROUND (close ground @4)</t>
        </is>
      </c>
      <c r="E11" s="48" t="n">
        <v>7.5</v>
      </c>
      <c r="F11" s="45" t="inlineStr">
        <is>
          <t>8a-5p f2 TR  8a-8:30/ 11:15-12:15 &amp; 2:30-3:30 GF ELEV</t>
        </is>
      </c>
      <c r="G11" s="48" t="n">
        <v>8.5</v>
      </c>
      <c r="H11" s="48" t="n"/>
      <c r="I11" s="48" t="n"/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inlineStr">
        <is>
          <t>CC 11a-7p f6 B@3</t>
        </is>
      </c>
      <c r="C12" s="48" t="n">
        <v>7.5</v>
      </c>
      <c r="D12" s="56" t="inlineStr">
        <is>
          <t xml:space="preserve"> 10a-11:30 TR/ CC 11:30a-7p f6 B@3</t>
        </is>
      </c>
      <c r="E12" s="48" t="n">
        <v>8.5</v>
      </c>
      <c r="F12" s="76" t="n"/>
      <c r="G12" s="48" t="n"/>
      <c r="H12" s="56" t="inlineStr">
        <is>
          <t>11a-12p GF ELEV/ 12-7p f6CC</t>
        </is>
      </c>
      <c r="I12" s="48" t="n">
        <v>7.5</v>
      </c>
      <c r="J12" s="157" t="inlineStr">
        <is>
          <t>RO</t>
        </is>
      </c>
      <c r="K12" s="48" t="n"/>
      <c r="L12" s="56" t="n"/>
      <c r="M12" s="48" t="n"/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Iqra B</t>
        </is>
      </c>
      <c r="B13" s="56" t="n"/>
      <c r="C13" s="48" t="n"/>
      <c r="D13" s="50" t="inlineStr">
        <is>
          <t>10a-1p TR f2</t>
        </is>
      </c>
      <c r="E13" s="48" t="n">
        <v>3</v>
      </c>
      <c r="F13" s="48" t="inlineStr">
        <is>
          <t>1:20p-7:30p ground</t>
        </is>
      </c>
      <c r="G13" s="48" t="n">
        <v>5.75</v>
      </c>
      <c r="H13" s="48" t="inlineStr">
        <is>
          <t>3p-6p ground</t>
        </is>
      </c>
      <c r="I13" s="48" t="n">
        <v>3</v>
      </c>
      <c r="J13" s="60" t="inlineStr">
        <is>
          <t>2p-7p f6 CC</t>
        </is>
      </c>
      <c r="K13" s="48" t="n">
        <v>5</v>
      </c>
      <c r="L13" s="56" t="inlineStr">
        <is>
          <t>7:45a-4:45p f6 CC B@2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16" customHeight="1">
      <c r="A14" s="60" t="inlineStr">
        <is>
          <t>Anastasia B</t>
        </is>
      </c>
      <c r="B14" s="82" t="n"/>
      <c r="C14" s="18" t="n"/>
      <c r="D14" s="56" t="n"/>
      <c r="E14" s="48" t="n"/>
      <c r="F14" s="56" t="inlineStr">
        <is>
          <t>CC8a-4p f6</t>
        </is>
      </c>
      <c r="G14" s="48" t="n">
        <v>7.5</v>
      </c>
      <c r="H14" s="48" t="inlineStr">
        <is>
          <t>11a-7:30p f2/ closer</t>
        </is>
      </c>
      <c r="I14" s="48" t="n">
        <v>8</v>
      </c>
      <c r="J14" s="48" t="inlineStr">
        <is>
          <t>8a-6p f2 B@1p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Daria C</t>
        </is>
      </c>
      <c r="B15" s="45" t="inlineStr">
        <is>
          <t>11a-4 set-up/ 4-7 f2/closing</t>
        </is>
      </c>
      <c r="C15" s="48" t="n">
        <v>7.5</v>
      </c>
      <c r="D15" s="45" t="inlineStr">
        <is>
          <t>9a-5p w fran</t>
        </is>
      </c>
      <c r="E15" s="48" t="n">
        <v>7.5</v>
      </c>
      <c r="F15" s="48" t="inlineStr">
        <is>
          <t>7:45a-4:15p w fran</t>
        </is>
      </c>
      <c r="G15" s="48" t="n">
        <v>8</v>
      </c>
      <c r="H15" s="45" t="n"/>
      <c r="I15" s="48" t="n"/>
      <c r="J15" s="45" t="inlineStr">
        <is>
          <t>RO</t>
        </is>
      </c>
      <c r="K15" s="48" t="n"/>
      <c r="L15" s="48" t="inlineStr">
        <is>
          <t>RO</t>
        </is>
      </c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9" customHeight="1">
      <c r="A16" s="163" t="inlineStr">
        <is>
          <t>Chinnesha C</t>
        </is>
      </c>
      <c r="B16" s="56" t="inlineStr">
        <is>
          <t>CC8a-4p f6</t>
        </is>
      </c>
      <c r="C16" s="48" t="n">
        <v>7.5</v>
      </c>
      <c r="D16" s="234" t="inlineStr">
        <is>
          <t>8a-11a TR f2</t>
        </is>
      </c>
      <c r="E16" s="48" t="n"/>
      <c r="F16" s="56" t="inlineStr">
        <is>
          <t>11-7p f6CC</t>
        </is>
      </c>
      <c r="G16" s="48" t="n">
        <v>7.5</v>
      </c>
      <c r="H16" s="56" t="inlineStr">
        <is>
          <t>CC8a-4p f6</t>
        </is>
      </c>
      <c r="I16" s="48" t="n">
        <v>7.5</v>
      </c>
      <c r="J16" s="56" t="inlineStr">
        <is>
          <t>8a-4p f6 CC B@2</t>
        </is>
      </c>
      <c r="K16" s="48" t="n">
        <v>7.5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5" customHeight="1">
      <c r="A17" s="45" t="inlineStr">
        <is>
          <t>Francisco C</t>
        </is>
      </c>
      <c r="B17" s="45" t="n"/>
      <c r="C17" s="48" t="n"/>
      <c r="D17" s="50" t="inlineStr">
        <is>
          <t>10a-1p TR f2</t>
        </is>
      </c>
      <c r="E17" s="48" t="n">
        <v>3</v>
      </c>
      <c r="F17" s="45" t="inlineStr">
        <is>
          <t>7:30a-1p ground/ B@1/ 1:30-2:15 f2 ( 8a-8:30/ 11:15-12:15 ELEV GF)</t>
        </is>
      </c>
      <c r="G17" s="48" t="n">
        <v>8</v>
      </c>
      <c r="H17" s="301" t="inlineStr">
        <is>
          <t>7:30a-10:30a ground  8a-8:30 GF ELEV</t>
        </is>
      </c>
      <c r="I17" s="48" t="n">
        <v>3</v>
      </c>
      <c r="J17" s="298" t="inlineStr">
        <is>
          <t>7:30a-10:30a ground  8a-8:30 GF ELEV</t>
        </is>
      </c>
      <c r="K17" s="18" t="n">
        <v>3</v>
      </c>
      <c r="L17" s="45" t="inlineStr">
        <is>
          <t>7:30a-12:30p ground 8a-8:30 GF ELEV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Juan Carlos</t>
        </is>
      </c>
      <c r="B18" s="69" t="n"/>
      <c r="C18" s="48" t="n"/>
      <c r="D18" s="45" t="inlineStr">
        <is>
          <t>4p-7:30p f2 closer</t>
        </is>
      </c>
      <c r="E18" s="48" t="n">
        <v>3.5</v>
      </c>
      <c r="F18" s="45" t="inlineStr">
        <is>
          <t>4p-7:30p f2 closer</t>
        </is>
      </c>
      <c r="G18" s="48" t="n">
        <v>3.5</v>
      </c>
      <c r="H18" s="69" t="n"/>
      <c r="I18" s="48" t="n"/>
      <c r="J18" s="82" t="n"/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New Intern</t>
        </is>
      </c>
      <c r="B19" s="82" t="n"/>
      <c r="C19" s="18" t="n"/>
      <c r="D19" s="82" t="n"/>
      <c r="E19" s="18" t="n"/>
      <c r="F19" s="82" t="n"/>
      <c r="G19" s="18" t="n"/>
      <c r="H19" s="85" t="n"/>
      <c r="I19" s="18" t="n"/>
      <c r="J19" s="82" t="n"/>
      <c r="K19" s="18" t="n"/>
      <c r="L19" s="85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45" t="inlineStr">
        <is>
          <t>New Intern</t>
        </is>
      </c>
      <c r="B20" s="82" t="n"/>
      <c r="C20" s="18" t="n"/>
      <c r="D20" s="82" t="n"/>
      <c r="E20" s="18" t="n"/>
      <c r="F20" s="86" t="n"/>
      <c r="G20" s="18" t="n"/>
      <c r="H20" s="85" t="n"/>
      <c r="I20" s="18" t="n"/>
      <c r="J20" s="82" t="n"/>
      <c r="K20" s="18" t="n"/>
      <c r="L20" s="85" t="n"/>
      <c r="M20" s="18" t="n"/>
      <c r="N20" s="1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 xml:space="preserve"> </t>
        </is>
      </c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K5" sqref="K5"/>
    </sheetView>
  </sheetViews>
  <sheetFormatPr baseColWidth="10" defaultColWidth="8.83203125" defaultRowHeight="15"/>
  <cols>
    <col width="26.5" customWidth="1" min="1" max="1"/>
    <col width="18.1640625" customWidth="1" min="2" max="2"/>
    <col width="4.33203125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46076</v>
      </c>
      <c r="C2" s="6" t="n"/>
      <c r="D2" s="5" t="n">
        <v>46077</v>
      </c>
      <c r="E2" s="6" t="n"/>
      <c r="F2" s="5" t="n">
        <v>46078</v>
      </c>
      <c r="G2" s="6" t="n"/>
      <c r="H2" s="5" t="n">
        <v>46079</v>
      </c>
      <c r="I2" s="6" t="n"/>
      <c r="J2" s="5" t="n">
        <v>46080</v>
      </c>
      <c r="K2" s="6" t="n"/>
      <c r="L2" s="5" t="n">
        <v>46081</v>
      </c>
      <c r="M2" s="6" t="n"/>
      <c r="N2" s="5" t="n">
        <v>46082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Mother tongue celebration/ 11:30 to 5pm/ G floor</t>
        </is>
      </c>
      <c r="C3" s="10" t="n"/>
      <c r="D3" s="62" t="inlineStr">
        <is>
          <t>Pink shirt day event / 11:00 to 1:00pm/ G floor</t>
        </is>
      </c>
      <c r="E3" s="295" t="n"/>
      <c r="F3" s="62" t="inlineStr">
        <is>
          <t>READING WEEK   RECRUITMENT EVENT f2 9:30a-12/ Lunch 12-1</t>
        </is>
      </c>
      <c r="G3" s="296" t="n"/>
      <c r="H3" s="62" t="inlineStr">
        <is>
          <t>READING WEEK    COMMUNITY FORUM  F2 12:30pm-4:30p</t>
        </is>
      </c>
      <c r="I3" s="295" t="n"/>
      <c r="J3" s="285" t="inlineStr">
        <is>
          <t>READING WEEK /FACULTY EVENT 210 / 9 TO 12 / Sally</t>
        </is>
      </c>
      <c r="K3" s="10" t="n"/>
      <c r="L3" s="9" t="inlineStr">
        <is>
          <t>READING WEEK</t>
        </is>
      </c>
      <c r="M3" s="13" t="n"/>
      <c r="N3" s="9" t="inlineStr">
        <is>
          <t>READING WEEK</t>
        </is>
      </c>
      <c r="O3" s="15" t="n"/>
      <c r="P3" s="3" t="n"/>
      <c r="U3" t="inlineStr">
        <is>
          <t>Reading Feb 25-March 3</t>
        </is>
      </c>
    </row>
    <row r="4" ht="16" customHeight="1">
      <c r="A4" s="82" t="inlineStr">
        <is>
          <t>Fran</t>
        </is>
      </c>
      <c r="B4" s="294" t="inlineStr">
        <is>
          <t>10a-5:30</t>
        </is>
      </c>
      <c r="C4" s="18" t="n">
        <v>7.5</v>
      </c>
      <c r="D4" s="18" t="inlineStr">
        <is>
          <t>9:30a-6:30p</t>
        </is>
      </c>
      <c r="E4" s="18" t="n">
        <v>9</v>
      </c>
      <c r="F4" s="294" t="inlineStr">
        <is>
          <t>9a-7pm</t>
        </is>
      </c>
      <c r="G4" s="18" t="n">
        <v>10</v>
      </c>
      <c r="H4" s="18" t="inlineStr">
        <is>
          <t>9a-5p</t>
        </is>
      </c>
      <c r="I4" s="18" t="n">
        <v>8</v>
      </c>
      <c r="J4" s="18" t="inlineStr">
        <is>
          <t>wfm 9a-2:30</t>
        </is>
      </c>
      <c r="K4" s="18" t="n">
        <v>5.5</v>
      </c>
      <c r="L4" s="289" t="n"/>
      <c r="M4" s="18" t="n"/>
      <c r="N4" s="18" t="n"/>
      <c r="O4" s="18" t="n"/>
      <c r="P4" s="3">
        <f>SUM(O4,M4,K4,I4,G4,E4,C4)</f>
        <v/>
      </c>
      <c r="U4" t="inlineStr">
        <is>
          <t>Reading April 22-May 5</t>
        </is>
      </c>
    </row>
    <row r="5" ht="30" customHeight="1">
      <c r="A5" s="45" t="inlineStr">
        <is>
          <t>Aashima</t>
        </is>
      </c>
      <c r="B5" s="294" t="inlineStr">
        <is>
          <t>9a-5:30</t>
        </is>
      </c>
      <c r="C5" s="18" t="n">
        <v>8.5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  <c r="U5" t="inlineStr">
        <is>
          <t>ORIENTATION May 4</t>
        </is>
      </c>
    </row>
    <row r="6" ht="16" customHeight="1">
      <c r="A6" s="163" t="inlineStr">
        <is>
          <t>Pablo</t>
        </is>
      </c>
      <c r="B6" s="33" t="inlineStr">
        <is>
          <t>12p-7:30p</t>
        </is>
      </c>
      <c r="C6" s="48" t="n">
        <v>7</v>
      </c>
      <c r="D6" s="45" t="inlineStr">
        <is>
          <t>RO</t>
        </is>
      </c>
      <c r="E6" s="48" t="n"/>
      <c r="F6" s="45" t="inlineStr">
        <is>
          <t>RO</t>
        </is>
      </c>
      <c r="G6" s="48" t="n"/>
      <c r="H6" s="129" t="inlineStr">
        <is>
          <t>RO</t>
        </is>
      </c>
      <c r="I6" s="48" t="n"/>
      <c r="J6" s="45" t="inlineStr">
        <is>
          <t>RO</t>
        </is>
      </c>
      <c r="K6" s="48" t="n"/>
      <c r="L6" s="45" t="inlineStr">
        <is>
          <t>RO</t>
        </is>
      </c>
      <c r="M6" s="48" t="n"/>
      <c r="N6" s="45" t="inlineStr">
        <is>
          <t>RO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inlineStr">
        <is>
          <t>7:45a-3:45p f6 B@11:30</t>
        </is>
      </c>
      <c r="C7" s="48" t="n">
        <v>7.5</v>
      </c>
      <c r="D7" s="48" t="inlineStr">
        <is>
          <t>7:45a-3:45p f6 B@12:30</t>
        </is>
      </c>
      <c r="E7" s="48" t="n">
        <v>7.5</v>
      </c>
      <c r="F7" s="133" t="inlineStr">
        <is>
          <t>7:45p-3:45p CC f6</t>
        </is>
      </c>
      <c r="G7" s="48" t="n">
        <v>7.5</v>
      </c>
      <c r="H7" s="133" t="inlineStr">
        <is>
          <t>7:45p-11aCC f6/ B@11/ 11:30a-3:45p event</t>
        </is>
      </c>
      <c r="I7" s="48" t="n">
        <v>7.5</v>
      </c>
      <c r="J7" s="50" t="inlineStr">
        <is>
          <t>8a-1p EVENT</t>
        </is>
      </c>
      <c r="K7" s="48" t="n">
        <v>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128" t="inlineStr">
        <is>
          <t>Taran</t>
        </is>
      </c>
      <c r="B8" s="38" t="n"/>
      <c r="C8" s="48" t="n"/>
      <c r="D8" s="153" t="inlineStr">
        <is>
          <t>8a-3p f2 B@12 (set up Ground fl event 10a-11:30am)</t>
        </is>
      </c>
      <c r="E8" s="48" t="n">
        <v>6.5</v>
      </c>
      <c r="F8" s="48" t="inlineStr">
        <is>
          <t>8a-6p f2/ event</t>
        </is>
      </c>
      <c r="G8" s="48" t="n">
        <v>9.5</v>
      </c>
      <c r="H8" s="38" t="n"/>
      <c r="I8" s="48" t="n"/>
      <c r="J8" s="48" t="inlineStr">
        <is>
          <t>11-11:30 f2/ 11:30-3 INVENTORIES/ B@3/ 3:30-7:30 f2</t>
        </is>
      </c>
      <c r="K8" s="48" t="n">
        <v>8</v>
      </c>
      <c r="L8" s="290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64" customHeight="1">
      <c r="A9" s="128" t="inlineStr">
        <is>
          <t xml:space="preserve">Marina </t>
        </is>
      </c>
      <c r="B9" s="38" t="n"/>
      <c r="C9" s="48" t="n"/>
      <c r="D9" s="81" t="inlineStr">
        <is>
          <t>Sick</t>
        </is>
      </c>
      <c r="E9" s="48" t="n"/>
      <c r="F9" s="81" t="inlineStr">
        <is>
          <t>10a-3p event</t>
        </is>
      </c>
      <c r="G9" s="48" t="n">
        <v>5</v>
      </c>
      <c r="H9" s="81" t="inlineStr">
        <is>
          <t>10a-3p event</t>
        </is>
      </c>
      <c r="I9" s="48" t="n">
        <v>5</v>
      </c>
      <c r="J9" s="81" t="n"/>
      <c r="K9" s="48" t="n"/>
      <c r="L9" s="45" t="inlineStr">
        <is>
          <t>7:30am-4pm B@12 GROUND (close ground at 4pm)</t>
        </is>
      </c>
      <c r="M9" s="48" t="n">
        <v>8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50" t="inlineStr">
        <is>
          <t>11a-5p event / 5-7 reset</t>
        </is>
      </c>
      <c r="G10" s="48" t="n">
        <v>7.5</v>
      </c>
      <c r="H10" s="50" t="inlineStr">
        <is>
          <t>11a-5p event/ 5-7 reset</t>
        </is>
      </c>
      <c r="I10" s="48" t="n">
        <v>7.5</v>
      </c>
      <c r="J10" s="48" t="inlineStr">
        <is>
          <t>7:45a-3:45a f2 B@11</t>
        </is>
      </c>
      <c r="K10" s="48" t="n">
        <v>7.5</v>
      </c>
      <c r="L10" s="4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</t>
        </is>
      </c>
      <c r="B11" s="56" t="n"/>
      <c r="C11" s="48" t="n"/>
      <c r="D11" s="60" t="inlineStr">
        <is>
          <t>CC 11a-7p f6</t>
        </is>
      </c>
      <c r="E11" s="48" t="n">
        <v>7.5</v>
      </c>
      <c r="F11" s="50" t="inlineStr">
        <is>
          <t>11a-4p EVENT - manage food F2 network side</t>
        </is>
      </c>
      <c r="G11" s="48" t="n">
        <v>5</v>
      </c>
      <c r="H11" s="50" t="inlineStr">
        <is>
          <t>12p-5pm EVENT - manage food F2 network side</t>
        </is>
      </c>
      <c r="I11" s="48" t="n">
        <v>5</v>
      </c>
      <c r="J11" s="60" t="inlineStr">
        <is>
          <t>7:45p-3 CC f6 B@1p / 3-3:34f2</t>
        </is>
      </c>
      <c r="K11" s="48" t="n">
        <v>7.5</v>
      </c>
      <c r="L11" s="56" t="inlineStr">
        <is>
          <t>CC8a-7p f6 (B@12:30p)</t>
        </is>
      </c>
      <c r="M11" s="48" t="n">
        <v>10.5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56" t="inlineStr">
        <is>
          <t>CC 8a-4p f6</t>
        </is>
      </c>
      <c r="C12" s="48" t="n">
        <v>7.5</v>
      </c>
      <c r="D12" s="56" t="inlineStr">
        <is>
          <t>CC 8a-4p f2</t>
        </is>
      </c>
      <c r="E12" s="48" t="n">
        <v>7.5</v>
      </c>
      <c r="F12" s="56" t="n"/>
      <c r="G12" s="48" t="n"/>
      <c r="H12" s="56" t="inlineStr">
        <is>
          <t>CC f6 9a-4p</t>
        </is>
      </c>
      <c r="I12" s="48" t="n">
        <v>6.5</v>
      </c>
      <c r="J12" s="38" t="n"/>
      <c r="K12" s="48" t="n"/>
      <c r="L12" s="56" t="inlineStr">
        <is>
          <t>CC 8a-6p f2 (B@1pm)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0" customHeight="1">
      <c r="A13" s="60" t="inlineStr">
        <is>
          <t>Anastasia B</t>
        </is>
      </c>
      <c r="B13" s="82" t="inlineStr">
        <is>
          <t>11a-11:30a Ground/ 11:30-12 f6/ 12-7p f2 B@4</t>
        </is>
      </c>
      <c r="C13" s="18" t="n">
        <v>7.5</v>
      </c>
      <c r="D13" s="82" t="inlineStr">
        <is>
          <t xml:space="preserve">2p-7:30p f2 /set-up for event </t>
        </is>
      </c>
      <c r="E13" s="18" t="n">
        <v>5</v>
      </c>
      <c r="F13" s="82" t="inlineStr">
        <is>
          <t>8a-4 event Welcome Desk</t>
        </is>
      </c>
      <c r="G13" s="18" t="n">
        <v>7.5</v>
      </c>
      <c r="H13" s="82" t="inlineStr">
        <is>
          <t>9a-5 event</t>
        </is>
      </c>
      <c r="I13" s="18" t="n">
        <v>7.5</v>
      </c>
      <c r="J13" s="48" t="n"/>
      <c r="K13" s="48" t="n"/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4" customHeight="1">
      <c r="A14" s="163" t="inlineStr">
        <is>
          <t>Daria C</t>
        </is>
      </c>
      <c r="B14" s="45" t="inlineStr">
        <is>
          <t>10a-3:30p w Fran</t>
        </is>
      </c>
      <c r="C14" s="48" t="n">
        <v>5.5</v>
      </c>
      <c r="D14" s="45" t="inlineStr">
        <is>
          <t>12p-5p w fran/ B@5/ 5:30-7:30 closing</t>
        </is>
      </c>
      <c r="E14" s="48" t="n">
        <v>7</v>
      </c>
      <c r="F14" s="50" t="inlineStr">
        <is>
          <t>8a-4pm event Welcome Desk</t>
        </is>
      </c>
      <c r="G14" s="48" t="n">
        <v>7.5</v>
      </c>
      <c r="H14" s="204" t="inlineStr">
        <is>
          <t>7:45a-2:15p f2/ EVENT</t>
        </is>
      </c>
      <c r="I14" s="48" t="n">
        <v>6</v>
      </c>
      <c r="J14" s="45" t="inlineStr">
        <is>
          <t>11a-4p inv</t>
        </is>
      </c>
      <c r="K14" s="48" t="n">
        <v>5</v>
      </c>
      <c r="L14" s="48" t="inlineStr">
        <is>
          <t>12p-6p set-up &amp; give breaks/ 6-7 CC/ 7-30 close B@3:30</t>
        </is>
      </c>
      <c r="M14" s="48" t="n">
        <v>7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0" customHeight="1">
      <c r="A15" s="163" t="inlineStr">
        <is>
          <t>Chinnesha C</t>
        </is>
      </c>
      <c r="B15" s="60" t="inlineStr">
        <is>
          <t>CC 11a-7p f6 B@3:30</t>
        </is>
      </c>
      <c r="C15" s="48" t="n">
        <v>7.5</v>
      </c>
      <c r="D15" s="283" t="n"/>
      <c r="E15" s="48" t="n"/>
      <c r="F15" s="60" t="inlineStr">
        <is>
          <t>CC 11a-7p f6 B@3</t>
        </is>
      </c>
      <c r="G15" s="48" t="n">
        <v>7.5</v>
      </c>
      <c r="H15" s="60" t="inlineStr">
        <is>
          <t>CC 11a-7p f6 B@3</t>
        </is>
      </c>
      <c r="I15" s="48" t="n">
        <v>6</v>
      </c>
      <c r="J15" s="56" t="inlineStr">
        <is>
          <t>11:30a-7p f6 CC B@2:30</t>
        </is>
      </c>
      <c r="K15" s="48" t="n">
        <v>7</v>
      </c>
      <c r="L15" s="273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7:30a-6p Ground B@11</t>
        </is>
      </c>
      <c r="C16" s="48" t="n">
        <v>10</v>
      </c>
      <c r="D16" s="45" t="inlineStr">
        <is>
          <t>7a-6p Ground</t>
        </is>
      </c>
      <c r="E16" s="48" t="n">
        <v>10.5</v>
      </c>
      <c r="F16" s="45" t="inlineStr">
        <is>
          <t>8a-6p ground</t>
        </is>
      </c>
      <c r="G16" s="48" t="n">
        <v>9.5</v>
      </c>
      <c r="H16" s="45" t="inlineStr">
        <is>
          <t>8a-6p ground</t>
        </is>
      </c>
      <c r="I16" s="48" t="n">
        <v>9.5</v>
      </c>
      <c r="J16" s="82" t="n"/>
      <c r="K16" s="18" t="n"/>
      <c r="L16" s="45" t="inlineStr">
        <is>
          <t>ro</t>
        </is>
      </c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Juan Carlos Training</t>
        </is>
      </c>
      <c r="B17" s="45" t="inlineStr">
        <is>
          <t>4-5 f2/ 5-6:30 set-up/ 6:30-7:30 closing</t>
        </is>
      </c>
      <c r="C17" s="48" t="n">
        <v>3.5</v>
      </c>
      <c r="D17" s="69" t="n"/>
      <c r="E17" s="48" t="n"/>
      <c r="F17" s="45" t="inlineStr">
        <is>
          <t>4-5 f2/ 5-6:30 set-up/ 6:30-7:30 closing</t>
        </is>
      </c>
      <c r="G17" s="48" t="n">
        <v>3.5</v>
      </c>
      <c r="H17" s="45" t="inlineStr">
        <is>
          <t>4-5 f2/ 5-6:30 set-up/ 6:30-7:30 closing</t>
        </is>
      </c>
      <c r="I17" s="48" t="n">
        <v>3.5</v>
      </c>
      <c r="J17" s="141" t="n"/>
      <c r="K17" s="18" t="n"/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Intern Sara Karimi 7</t>
        </is>
      </c>
      <c r="B18" s="82" t="n"/>
      <c r="C18" s="18" t="n"/>
      <c r="D18" s="82" t="inlineStr">
        <is>
          <t>2p-7:30p set-up for event + closing</t>
        </is>
      </c>
      <c r="E18" s="18" t="n">
        <v>5</v>
      </c>
      <c r="F18" s="82" t="inlineStr">
        <is>
          <t>8:30a-1:30p event</t>
        </is>
      </c>
      <c r="G18" s="18" t="n">
        <v>5</v>
      </c>
      <c r="H18" s="85" t="inlineStr">
        <is>
          <t>11a-4p EVENT Last-day</t>
        </is>
      </c>
      <c r="I18" s="18" t="n">
        <v>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Intern Mickaela G 7</t>
        </is>
      </c>
      <c r="B19" s="82" t="n"/>
      <c r="C19" s="18" t="n"/>
      <c r="D19" s="82" t="inlineStr">
        <is>
          <t>2p-7:30p set-up for event + closing</t>
        </is>
      </c>
      <c r="E19" s="18" t="n">
        <v>5</v>
      </c>
      <c r="F19" s="82" t="inlineStr">
        <is>
          <t>8:30a-1:30p event</t>
        </is>
      </c>
      <c r="G19" s="18" t="n">
        <v>5</v>
      </c>
      <c r="H19" s="269" t="inlineStr">
        <is>
          <t xml:space="preserve">9a-12p set-up event </t>
        </is>
      </c>
      <c r="I19" s="18" t="n">
        <v>3</v>
      </c>
      <c r="J19" s="82" t="inlineStr">
        <is>
          <t xml:space="preserve">8a-6p GROUND </t>
        </is>
      </c>
      <c r="K19" s="18" t="n">
        <v>9.5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20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9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9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9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 xml:space="preserve"> </t>
        </is>
      </c>
    </row>
    <row r="32" ht="16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M5" sqref="M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6.664062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46069</v>
      </c>
      <c r="C2" s="6" t="n"/>
      <c r="D2" s="5" t="n">
        <v>46070</v>
      </c>
      <c r="E2" s="6" t="n"/>
      <c r="F2" s="5" t="n">
        <v>46071</v>
      </c>
      <c r="G2" s="6" t="n"/>
      <c r="H2" s="5" t="n">
        <v>46072</v>
      </c>
      <c r="I2" s="6" t="n"/>
      <c r="J2" s="5" t="n">
        <v>46073</v>
      </c>
      <c r="K2" s="6" t="n"/>
      <c r="L2" s="5" t="n">
        <v>46074</v>
      </c>
      <c r="M2" s="6" t="n"/>
      <c r="N2" s="5" t="n">
        <v>46075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FAMILY DAY</t>
        </is>
      </c>
      <c r="C3" s="10" t="n"/>
      <c r="D3" s="9" t="inlineStr">
        <is>
          <t>Sysco delivery?  / Black History Month Event: Student Initiated 12p-5p GF</t>
        </is>
      </c>
      <c r="E3" s="10" t="n"/>
      <c r="F3" s="9" t="inlineStr">
        <is>
          <t>IAC meeting- 6A   9a-1p              / Ribbon Cutting Ceremony F2  1:30p-4p</t>
        </is>
      </c>
      <c r="G3" s="11" t="n"/>
      <c r="H3" s="288" t="inlineStr">
        <is>
          <t>Recruitment dry-run 4:30-5p f2   / Student Party 5p-7p GROUND</t>
        </is>
      </c>
      <c r="I3" s="10" t="n"/>
      <c r="J3" s="285" t="inlineStr">
        <is>
          <t>GUARD-ME event 11a-3p Ground</t>
        </is>
      </c>
      <c r="K3" s="10" t="n"/>
      <c r="L3" s="9" t="inlineStr">
        <is>
          <t>Sysco Delivery?</t>
        </is>
      </c>
      <c r="M3" s="13" t="n"/>
      <c r="N3" s="9" t="n"/>
      <c r="O3" s="15" t="n"/>
      <c r="P3" s="3" t="n"/>
    </row>
    <row r="4" ht="16" customHeight="1">
      <c r="A4" s="82" t="inlineStr">
        <is>
          <t>Fran</t>
        </is>
      </c>
      <c r="B4" s="18" t="n"/>
      <c r="C4" s="18" t="n">
        <v>8</v>
      </c>
      <c r="D4" s="18" t="inlineStr">
        <is>
          <t>9:30a-8p</t>
        </is>
      </c>
      <c r="E4" s="18" t="n">
        <v>10.5</v>
      </c>
      <c r="F4" s="18" t="inlineStr">
        <is>
          <t>9-6:30</t>
        </is>
      </c>
      <c r="G4" s="18" t="n">
        <v>9.5</v>
      </c>
      <c r="H4" s="18" t="inlineStr">
        <is>
          <t>9:30a-6:30</t>
        </is>
      </c>
      <c r="I4" s="18" t="n">
        <v>9</v>
      </c>
      <c r="J4" s="18" t="inlineStr">
        <is>
          <t>10:30-5p</t>
        </is>
      </c>
      <c r="K4" s="18" t="n">
        <v>5.5</v>
      </c>
      <c r="L4" s="289" t="inlineStr">
        <is>
          <t>wfh 4hrs</t>
        </is>
      </c>
      <c r="M4" s="18" t="n">
        <v>4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45" t="inlineStr">
        <is>
          <t>Aashima</t>
        </is>
      </c>
      <c r="B5" s="18" t="n"/>
      <c r="C5" s="18" t="n">
        <v>8</v>
      </c>
      <c r="D5" s="18" t="inlineStr">
        <is>
          <t>9a-6:30p</t>
        </is>
      </c>
      <c r="E5" s="18" t="n">
        <v>9.5</v>
      </c>
      <c r="F5" s="18" t="inlineStr">
        <is>
          <t>8a-6</t>
        </is>
      </c>
      <c r="G5" s="18" t="n">
        <v>10</v>
      </c>
      <c r="H5" s="18" t="inlineStr">
        <is>
          <t>9a-7pm</t>
        </is>
      </c>
      <c r="I5" s="18" t="n">
        <v>10</v>
      </c>
      <c r="J5" s="18" t="inlineStr">
        <is>
          <t>9a-12p WFH</t>
        </is>
      </c>
      <c r="K5" s="18" t="n">
        <v>3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48" customHeight="1">
      <c r="A6" s="163" t="inlineStr">
        <is>
          <t>Pablo</t>
        </is>
      </c>
      <c r="B6" s="290" t="n"/>
      <c r="C6" s="48" t="n"/>
      <c r="D6" s="45" t="inlineStr">
        <is>
          <t xml:space="preserve">4p-8:30p set-up </t>
        </is>
      </c>
      <c r="E6" s="48" t="n">
        <v>4.5</v>
      </c>
      <c r="F6" s="50" t="inlineStr">
        <is>
          <t>8a-4pm set-up/ EVENT f2</t>
        </is>
      </c>
      <c r="G6" s="48" t="n">
        <v>7.5</v>
      </c>
      <c r="H6" s="129" t="n"/>
      <c r="I6" s="48" t="n"/>
      <c r="J6" s="56" t="inlineStr">
        <is>
          <t>7:30a-11:30 ground/ B@11:30/ 12p-3:30p set-up campus</t>
        </is>
      </c>
      <c r="K6" s="48" t="n">
        <v>7.5</v>
      </c>
      <c r="L6" s="45" t="inlineStr">
        <is>
          <t>12p-5:30 set-up/ 5:30-6 GR/ 6-7:30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 ht="16" customHeight="1">
      <c r="A7" s="163" t="inlineStr">
        <is>
          <t>Kavya</t>
        </is>
      </c>
      <c r="B7" s="42" t="n"/>
      <c r="C7" s="48" t="n"/>
      <c r="D7" s="48" t="inlineStr">
        <is>
          <t>7:45a-4p f6 B@11a</t>
        </is>
      </c>
      <c r="E7" s="48" t="n">
        <v>7.75</v>
      </c>
      <c r="F7" s="155" t="inlineStr">
        <is>
          <t>7:45a-12p f6</t>
        </is>
      </c>
      <c r="G7" s="48" t="n">
        <v>4.25</v>
      </c>
      <c r="H7" s="155" t="inlineStr">
        <is>
          <t>7:45a-12p f6</t>
        </is>
      </c>
      <c r="I7" s="48" t="n">
        <v>4.25</v>
      </c>
      <c r="J7" s="51" t="inlineStr">
        <is>
          <t>7:45a-4p f2 B@12:30</t>
        </is>
      </c>
      <c r="K7" s="48" t="n">
        <v>7.75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16" customHeight="1">
      <c r="A8" s="128" t="inlineStr">
        <is>
          <t>Taran</t>
        </is>
      </c>
      <c r="B8" s="42" t="n"/>
      <c r="C8" s="48" t="n"/>
      <c r="D8" s="153" t="inlineStr">
        <is>
          <t xml:space="preserve">8a-3p f2/ B@12/ </t>
        </is>
      </c>
      <c r="E8" s="48" t="n">
        <v>7</v>
      </c>
      <c r="F8" s="45" t="inlineStr">
        <is>
          <t>8a-6pm f2/ event</t>
        </is>
      </c>
      <c r="G8" s="48" t="n">
        <v>9.5</v>
      </c>
      <c r="H8" s="38" t="n"/>
      <c r="I8" s="48" t="n"/>
      <c r="J8" s="30" t="inlineStr">
        <is>
          <t>12p-7:30p f2 B@2:30</t>
        </is>
      </c>
      <c r="K8" s="48" t="n">
        <v>7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8" customHeight="1">
      <c r="A9" s="128" t="inlineStr">
        <is>
          <t xml:space="preserve">Marina </t>
        </is>
      </c>
      <c r="B9" s="42" t="n"/>
      <c r="C9" s="48" t="n"/>
      <c r="D9" s="81" t="inlineStr">
        <is>
          <t>10:30a-11 GR/ 11-11:30 f6/ 11:30a-3p f2</t>
        </is>
      </c>
      <c r="E9" s="48" t="n">
        <v>4.5</v>
      </c>
      <c r="F9" s="38" t="n"/>
      <c r="G9" s="48" t="n"/>
      <c r="H9" s="81" t="inlineStr">
        <is>
          <t>10:30a-11 GR/ 11-11:30 f6/ 11:30a-3p f2</t>
        </is>
      </c>
      <c r="I9" s="48" t="n">
        <v>4.5</v>
      </c>
      <c r="J9" s="81" t="inlineStr">
        <is>
          <t>10a-3p Ground</t>
        </is>
      </c>
      <c r="K9" s="48" t="n">
        <v>5</v>
      </c>
      <c r="L9" s="45" t="inlineStr">
        <is>
          <t>7:30a-8a Ground/ 8a-5:30p F6 B@11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2" customHeight="1">
      <c r="A10" s="128" t="inlineStr">
        <is>
          <t xml:space="preserve">Sagar </t>
        </is>
      </c>
      <c r="B10" s="42" t="n"/>
      <c r="C10" s="48" t="n"/>
      <c r="D10" s="38" t="n"/>
      <c r="E10" s="48" t="n"/>
      <c r="F10" s="50" t="inlineStr">
        <is>
          <t>1-7:30 event Welcome Table f2</t>
        </is>
      </c>
      <c r="G10" s="48" t="n">
        <v>6</v>
      </c>
      <c r="H10" s="48" t="inlineStr">
        <is>
          <t>11a-7p f2/ 7-8:30 help close</t>
        </is>
      </c>
      <c r="I10" s="48" t="n">
        <v>9</v>
      </c>
      <c r="J10" s="48" t="inlineStr">
        <is>
          <t>2:30-3 f2/ 3-6 ground</t>
        </is>
      </c>
      <c r="K10" s="48" t="n">
        <v>3.5</v>
      </c>
      <c r="L10" s="48" t="inlineStr">
        <is>
          <t>8a-4p f2 B@11:30a</t>
        </is>
      </c>
      <c r="M10" s="48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8" customHeight="1">
      <c r="A11" s="163" t="inlineStr">
        <is>
          <t>Viviana B</t>
        </is>
      </c>
      <c r="B11" s="291" t="n"/>
      <c r="C11" s="48" t="n"/>
      <c r="D11" s="45" t="inlineStr">
        <is>
          <t>3p-6:30 f2/ B@6:30/ 7-7:30 closing/ 7:30-8:30 set-up</t>
        </is>
      </c>
      <c r="E11" s="48" t="n">
        <v>5</v>
      </c>
      <c r="F11" s="50" t="inlineStr">
        <is>
          <t>11a-7 event Welcome Table f2</t>
        </is>
      </c>
      <c r="G11" s="48" t="n">
        <v>7.5</v>
      </c>
      <c r="H11" s="56" t="inlineStr">
        <is>
          <t>CC f6 8a-5p B@11a</t>
        </is>
      </c>
      <c r="I11" s="48" t="n">
        <v>8.5</v>
      </c>
      <c r="J11" s="45" t="inlineStr">
        <is>
          <t>11a-3pm f6 desk</t>
        </is>
      </c>
      <c r="K11" s="48" t="n">
        <v>4</v>
      </c>
      <c r="L11" s="56" t="inlineStr">
        <is>
          <t>CC GROUND 8a-5p B@12:30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291" t="n"/>
      <c r="C12" s="48" t="n"/>
      <c r="D12" s="56" t="inlineStr">
        <is>
          <t>CC f6 8a-4p B@1</t>
        </is>
      </c>
      <c r="E12" s="48" t="n">
        <v>7.5</v>
      </c>
      <c r="F12" s="56" t="inlineStr">
        <is>
          <t>CC f6 8a-5p</t>
        </is>
      </c>
      <c r="G12" s="48" t="n">
        <v>9.5</v>
      </c>
      <c r="H12" s="45" t="inlineStr">
        <is>
          <t>11:45a-3:45pm f6 desk</t>
        </is>
      </c>
      <c r="I12" s="48" t="n">
        <v>4</v>
      </c>
      <c r="J12" s="38" t="n"/>
      <c r="K12" s="48" t="n"/>
      <c r="L12" s="56" t="inlineStr">
        <is>
          <t>CC f6 11a-7p B@1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80" customHeight="1">
      <c r="A13" s="60" t="inlineStr">
        <is>
          <t>Anastasia B</t>
        </is>
      </c>
      <c r="B13" s="292" t="n"/>
      <c r="C13" s="18" t="n"/>
      <c r="D13" s="56" t="inlineStr">
        <is>
          <t>CC f6 11a-7p B@2:30</t>
        </is>
      </c>
      <c r="E13" s="48" t="n">
        <v>7.5</v>
      </c>
      <c r="F13" s="45" t="inlineStr">
        <is>
          <t>12p-3p f6/ 3-5 cover brks/B@5/ 5:30-6 Ground/ 6-7:30pm closing</t>
        </is>
      </c>
      <c r="G13" s="48" t="n">
        <v>7</v>
      </c>
      <c r="H13" s="82" t="n"/>
      <c r="I13" s="18" t="n"/>
      <c r="J13" s="56" t="inlineStr">
        <is>
          <t>CC f6 8a-5p</t>
        </is>
      </c>
      <c r="K13" s="48" t="n">
        <v>9.5</v>
      </c>
      <c r="L13" s="48" t="inlineStr">
        <is>
          <t>11a-11:30a f6/ 11:30-12:30 f2/ 12:30-1:30 ground/ B@1:30/ 2-7 f2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2" customHeight="1">
      <c r="A14" s="163" t="inlineStr">
        <is>
          <t>Daria C</t>
        </is>
      </c>
      <c r="B14" s="290" t="n"/>
      <c r="C14" s="48" t="n"/>
      <c r="D14" s="45" t="inlineStr">
        <is>
          <t xml:space="preserve">10a-6p w fran B@4/ </t>
        </is>
      </c>
      <c r="E14" s="48" t="n">
        <v>7.5</v>
      </c>
      <c r="F14" s="50" t="inlineStr">
        <is>
          <t>7:30a-5:30pm set-up/ EVENT</t>
        </is>
      </c>
      <c r="G14" s="48" t="n">
        <v>9.5</v>
      </c>
      <c r="H14" s="155" t="inlineStr">
        <is>
          <t>7:45a-11:45a f2</t>
        </is>
      </c>
      <c r="I14" s="48" t="n">
        <v>4</v>
      </c>
      <c r="J14" s="45" t="inlineStr">
        <is>
          <t>10a-3p w fran</t>
        </is>
      </c>
      <c r="K14" s="48" t="n">
        <v>5</v>
      </c>
      <c r="L14" s="50" t="inlineStr">
        <is>
          <t>10a-3p EVENT</t>
        </is>
      </c>
      <c r="M14" s="48" t="n">
        <v>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Chinnesha C</t>
        </is>
      </c>
      <c r="B15" s="291" t="n"/>
      <c r="C15" s="48" t="n"/>
      <c r="D15" s="283" t="n"/>
      <c r="E15" s="48" t="n"/>
      <c r="F15" s="56" t="inlineStr">
        <is>
          <t>CC f6 11a-7p</t>
        </is>
      </c>
      <c r="G15" s="48" t="n">
        <v>7.5</v>
      </c>
      <c r="H15" s="56" t="inlineStr">
        <is>
          <t>CC f6 11a-7p B@3:30</t>
        </is>
      </c>
      <c r="I15" s="48" t="n">
        <v>7.5</v>
      </c>
      <c r="J15" s="56" t="inlineStr">
        <is>
          <t>CC f6 9a-7p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290" t="n"/>
      <c r="C16" s="48" t="n"/>
      <c r="D16" s="45" t="inlineStr">
        <is>
          <t>7:30a-6p ground B@10:30a</t>
        </is>
      </c>
      <c r="E16" s="48" t="n">
        <v>10</v>
      </c>
      <c r="F16" s="45" t="inlineStr">
        <is>
          <t>7:30a-5:30p ground</t>
        </is>
      </c>
      <c r="G16" s="48" t="n">
        <v>9.5</v>
      </c>
      <c r="H16" s="45" t="inlineStr">
        <is>
          <t>7:30a-5:30p ground</t>
        </is>
      </c>
      <c r="I16" s="48" t="n">
        <v>9.5</v>
      </c>
      <c r="J16" s="141" t="n"/>
      <c r="K16" s="18" t="n"/>
      <c r="L16" s="45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16" customHeight="1">
      <c r="A17" s="45" t="inlineStr">
        <is>
          <t>Juan Carlos Training</t>
        </is>
      </c>
      <c r="B17" s="290" t="n"/>
      <c r="C17" s="48" t="n"/>
      <c r="D17" s="69" t="n"/>
      <c r="E17" s="48" t="n"/>
      <c r="F17" s="45" t="inlineStr">
        <is>
          <t>4-7:30 re-set/ Closing</t>
        </is>
      </c>
      <c r="G17" s="48" t="n">
        <v>3.5</v>
      </c>
      <c r="H17" s="293" t="inlineStr">
        <is>
          <t>4p-8:30 ground/ closing</t>
        </is>
      </c>
      <c r="I17" s="48" t="n">
        <v>4.5</v>
      </c>
      <c r="J17" s="141" t="n"/>
      <c r="K17" s="18" t="n"/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Intern Sara Karimi 6</t>
        </is>
      </c>
      <c r="B18" s="292" t="n"/>
      <c r="C18" s="18" t="n"/>
      <c r="D18" s="82" t="inlineStr">
        <is>
          <t>9a-5p w Fran</t>
        </is>
      </c>
      <c r="E18" s="18" t="n">
        <v>7.5</v>
      </c>
      <c r="F18" s="50" t="inlineStr">
        <is>
          <t>8a-5p eventS f6</t>
        </is>
      </c>
      <c r="G18" s="18" t="n">
        <v>8.5</v>
      </c>
      <c r="H18" s="85" t="n"/>
      <c r="I18" s="18" t="n"/>
      <c r="J18" s="82" t="n"/>
      <c r="K18" s="18" t="n"/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32" customHeight="1">
      <c r="A19" s="45" t="inlineStr">
        <is>
          <t>Intern Mickaela G 6</t>
        </is>
      </c>
      <c r="B19" s="292" t="n"/>
      <c r="C19" s="18" t="n"/>
      <c r="D19" s="82" t="inlineStr">
        <is>
          <t>5p-8:30p set-up w Pablo</t>
        </is>
      </c>
      <c r="E19" s="18" t="n">
        <v>3.5</v>
      </c>
      <c r="F19" s="50" t="inlineStr">
        <is>
          <t>9a-6 w fran event f2</t>
        </is>
      </c>
      <c r="G19" s="18" t="n">
        <v>8.5</v>
      </c>
      <c r="H19" s="269" t="inlineStr">
        <is>
          <t>4:30p-7:30pm set up/ clean up ground</t>
        </is>
      </c>
      <c r="I19" s="18" t="n">
        <v>3</v>
      </c>
      <c r="J19" s="141" t="n"/>
      <c r="K19" s="18" t="n"/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20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9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9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9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 xml:space="preserve"> </t>
        </is>
      </c>
    </row>
    <row r="32" ht="16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J1" sqref="J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46062</v>
      </c>
      <c r="C2" s="6" t="n"/>
      <c r="D2" s="5" t="n">
        <v>46063</v>
      </c>
      <c r="E2" s="6" t="n"/>
      <c r="F2" s="5" t="n">
        <v>46064</v>
      </c>
      <c r="G2" s="6" t="n"/>
      <c r="H2" s="5" t="n">
        <v>46065</v>
      </c>
      <c r="I2" s="6" t="n"/>
      <c r="J2" s="5" t="n">
        <v>46066</v>
      </c>
      <c r="K2" s="6" t="n"/>
      <c r="L2" s="5" t="n">
        <v>46067</v>
      </c>
      <c r="M2" s="6" t="n"/>
      <c r="N2" s="5" t="n">
        <v>46068</v>
      </c>
      <c r="O2" s="7" t="n"/>
      <c r="P2" s="3" t="n"/>
    </row>
    <row r="3" ht="63" customHeight="1">
      <c r="A3" s="8" t="inlineStr">
        <is>
          <t>EVENTS</t>
        </is>
      </c>
      <c r="B3" s="282" t="n"/>
      <c r="C3" s="10" t="n"/>
      <c r="D3" s="62" t="inlineStr">
        <is>
          <t>SLT meet 10 to 12/MR 6B 14 PPL</t>
        </is>
      </c>
      <c r="E3" s="10" t="n"/>
      <c r="F3" s="62" t="inlineStr">
        <is>
          <t>211: 30 ppl 9:30 -12/ SLT MR 6B 12p-2p 11ppl</t>
        </is>
      </c>
      <c r="G3" s="11" t="n"/>
      <c r="H3" s="286" t="inlineStr">
        <is>
          <t>Faculty Social - 40 + people / 1to 4pm/ RM 210 &amp; FACULTY ROOM</t>
        </is>
      </c>
      <c r="I3" s="10" t="n"/>
      <c r="J3" s="285" t="inlineStr">
        <is>
          <t>Valentine's Day &amp; Family Day: GAME DAY 3pm-4pm GF</t>
        </is>
      </c>
      <c r="K3" s="10" t="n"/>
      <c r="L3" s="9" t="n"/>
      <c r="M3" s="13" t="n"/>
      <c r="N3" s="9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10a-7</t>
        </is>
      </c>
      <c r="C4" s="18" t="n">
        <v>9</v>
      </c>
      <c r="D4" s="19" t="inlineStr">
        <is>
          <t>9:30a-6:30</t>
        </is>
      </c>
      <c r="E4" s="18" t="n">
        <v>9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11a-1p/ 7p-12a Lawrence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8" customHeight="1">
      <c r="A6" s="163" t="inlineStr">
        <is>
          <t>Pablo</t>
        </is>
      </c>
      <c r="B6" s="33" t="inlineStr">
        <is>
          <t>12-12:30 Gr/ 12:30-6:30 f2 B@4p/ 6:30-7:30 closing</t>
        </is>
      </c>
      <c r="C6" s="48" t="n">
        <v>6.5</v>
      </c>
      <c r="D6" s="45" t="inlineStr">
        <is>
          <t>3p-7p f2/ 7-7:30 closing</t>
        </is>
      </c>
      <c r="E6" s="48" t="n">
        <v>4.5</v>
      </c>
      <c r="F6" s="56" t="inlineStr">
        <is>
          <t>8a-4:30 f6 CC B@1p</t>
        </is>
      </c>
      <c r="G6" s="48" t="n">
        <v>8</v>
      </c>
      <c r="H6" s="155" t="inlineStr">
        <is>
          <t>8a-12p SET-UP rm 210 &amp; Fac room</t>
        </is>
      </c>
      <c r="I6" s="48" t="n">
        <v>4</v>
      </c>
      <c r="J6" s="50" t="inlineStr">
        <is>
          <t>10a-1pm  TRAINING/ Set up</t>
        </is>
      </c>
      <c r="K6" s="48" t="n">
        <v>3</v>
      </c>
      <c r="L6" s="45" t="inlineStr">
        <is>
          <t>7:30a-6p f2 B@3:30</t>
        </is>
      </c>
      <c r="M6" s="48" t="n">
        <v>10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163" t="inlineStr">
        <is>
          <t>Kavya</t>
        </is>
      </c>
      <c r="B7" s="48" t="inlineStr">
        <is>
          <t>8a-4p f6 B@12p</t>
        </is>
      </c>
      <c r="C7" s="48" t="n">
        <v>7.5</v>
      </c>
      <c r="D7" s="48" t="inlineStr">
        <is>
          <t>8a-4p f6 B@11:30</t>
        </is>
      </c>
      <c r="E7" s="48" t="n">
        <v>7.5</v>
      </c>
      <c r="F7" s="155" t="inlineStr">
        <is>
          <t>8a-12p f6</t>
        </is>
      </c>
      <c r="G7" s="48" t="n">
        <v>4</v>
      </c>
      <c r="H7" s="155" t="inlineStr">
        <is>
          <t>8a-12p f6</t>
        </is>
      </c>
      <c r="I7" s="48" t="n">
        <v>4</v>
      </c>
      <c r="J7" s="56" t="inlineStr">
        <is>
          <t>8a-4p f6 CC / (TR 11a-12p/ B@12:30)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128" t="inlineStr">
        <is>
          <t>Taran</t>
        </is>
      </c>
      <c r="B8" s="38" t="n"/>
      <c r="C8" s="48" t="n"/>
      <c r="D8" s="153" t="inlineStr">
        <is>
          <t>8a-12 f2/ B@12/ 12:30-3 set-up</t>
        </is>
      </c>
      <c r="E8" s="48" t="n">
        <v>6.5</v>
      </c>
      <c r="F8" s="48" t="inlineStr">
        <is>
          <t>8a-6p f2 B@12:30</t>
        </is>
      </c>
      <c r="G8" s="48" t="n">
        <v>9.5</v>
      </c>
      <c r="H8" s="38" t="n"/>
      <c r="I8" s="48" t="n"/>
      <c r="J8" s="30" t="inlineStr">
        <is>
          <t>12p-12:30 GR/ 12:30-4:30 setup/ B@4:30/ 5:30-6 GR/ 6-7:30 closing</t>
        </is>
      </c>
      <c r="K8" s="48" t="n">
        <v>7.5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38" t="n"/>
      <c r="C9" s="48" t="n"/>
      <c r="D9" s="81" t="inlineStr">
        <is>
          <t>11a-11:30a ground/ 11:30a-12p f6/ 12-3 f2</t>
        </is>
      </c>
      <c r="E9" s="48" t="n">
        <v>4</v>
      </c>
      <c r="F9" s="38" t="n"/>
      <c r="G9" s="48" t="n"/>
      <c r="H9" s="81" t="inlineStr">
        <is>
          <t>ro</t>
        </is>
      </c>
      <c r="I9" s="48" t="n"/>
      <c r="J9" s="81" t="inlineStr">
        <is>
          <t>ro</t>
        </is>
      </c>
      <c r="K9" s="48" t="n"/>
      <c r="L9" s="45" t="inlineStr">
        <is>
          <t>7:30am-4:30 ground/ B@12</t>
        </is>
      </c>
      <c r="M9" s="48" t="n">
        <v>8.5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45" t="inlineStr">
        <is>
          <t>7:30a-5p ground B@12</t>
        </is>
      </c>
      <c r="G10" s="48" t="n">
        <v>8.5</v>
      </c>
      <c r="H10" s="48" t="inlineStr">
        <is>
          <t>11a-3:30p event set-up</t>
        </is>
      </c>
      <c r="I10" s="48" t="n">
        <v>4.5</v>
      </c>
      <c r="J10" s="48" t="inlineStr">
        <is>
          <t>11a-12 TR/12p-7p f2</t>
        </is>
      </c>
      <c r="K10" s="48" t="n">
        <v>5.5</v>
      </c>
      <c r="L10" s="48" t="inlineStr">
        <is>
          <t>3:30-4p f2/ 4-6 ground/ 6-7:30p closing</t>
        </is>
      </c>
      <c r="M10" s="48" t="n">
        <v>4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63" t="inlineStr">
        <is>
          <t>Viviana B</t>
        </is>
      </c>
      <c r="B11" s="56" t="n"/>
      <c r="C11" s="48" t="n"/>
      <c r="D11" s="45" t="inlineStr">
        <is>
          <t>7:30a-6p ground B@11a</t>
        </is>
      </c>
      <c r="E11" s="48" t="n">
        <v>10</v>
      </c>
      <c r="F11" s="45" t="n"/>
      <c r="G11" s="48" t="n"/>
      <c r="H11" s="56" t="inlineStr">
        <is>
          <t>8a-6p f6 CC B@11:30</t>
        </is>
      </c>
      <c r="I11" s="48" t="n">
        <v>9.5</v>
      </c>
      <c r="J11" s="45" t="inlineStr">
        <is>
          <t>7:30am-5:30p ground B@12 (11a-12pm TR)</t>
        </is>
      </c>
      <c r="K11" s="48" t="n">
        <v>9.5</v>
      </c>
      <c r="L11" s="56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Iqra B</t>
        </is>
      </c>
      <c r="B12" s="56" t="inlineStr">
        <is>
          <t>8a-6p f6 CC TR B@1p</t>
        </is>
      </c>
      <c r="C12" s="48" t="n">
        <v>9.5</v>
      </c>
      <c r="D12" s="56" t="inlineStr">
        <is>
          <t>8a-6p f6 CC TR B@1p</t>
        </is>
      </c>
      <c r="E12" s="48" t="n">
        <v>9.5</v>
      </c>
      <c r="F12" s="56" t="n"/>
      <c r="G12" s="48" t="n"/>
      <c r="H12" s="56" t="n"/>
      <c r="I12" s="48" t="n"/>
      <c r="J12" s="56" t="inlineStr">
        <is>
          <t>CC 10a-1p CC f6</t>
        </is>
      </c>
      <c r="K12" s="48" t="n">
        <v>3</v>
      </c>
      <c r="L12" s="56" t="inlineStr">
        <is>
          <t>11a-7p f6 CC TR B@2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60" t="inlineStr">
        <is>
          <t>Anastasia B</t>
        </is>
      </c>
      <c r="B13" s="82" t="inlineStr">
        <is>
          <t>8a-6p f2</t>
        </is>
      </c>
      <c r="C13" s="18" t="n">
        <v>9.5</v>
      </c>
      <c r="D13" s="56" t="inlineStr">
        <is>
          <t>CC 11a-3:30f2/ B@3:30 / 4-7 f6</t>
        </is>
      </c>
      <c r="E13" s="48" t="n">
        <v>7.5</v>
      </c>
      <c r="F13" s="82" t="n"/>
      <c r="G13" s="18" t="n"/>
      <c r="H13" s="82" t="inlineStr">
        <is>
          <t>8a-5p f2</t>
        </is>
      </c>
      <c r="I13" s="18" t="n">
        <v>8.5</v>
      </c>
      <c r="J13" s="48" t="inlineStr">
        <is>
          <t>8a-1p f2 (11a-12p TR)</t>
        </is>
      </c>
      <c r="K13" s="48" t="n">
        <v>5</v>
      </c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63" t="inlineStr">
        <is>
          <t>Daria C</t>
        </is>
      </c>
      <c r="B14" s="45" t="inlineStr">
        <is>
          <t>10a-4:30p w fran</t>
        </is>
      </c>
      <c r="C14" s="48" t="n">
        <v>6</v>
      </c>
      <c r="D14" s="45" t="inlineStr">
        <is>
          <t>10a-3p w fran</t>
        </is>
      </c>
      <c r="E14" s="48" t="n">
        <v>5</v>
      </c>
      <c r="F14" s="48" t="inlineStr">
        <is>
          <t>10a-12p event/ 12-12:30 GR/ 12:30-1 f2/ 1-5 w fran</t>
        </is>
      </c>
      <c r="G14" s="48" t="n">
        <v>7</v>
      </c>
      <c r="H14" s="155" t="n"/>
      <c r="I14" s="48" t="n"/>
      <c r="J14" s="50" t="inlineStr">
        <is>
          <t>11a-2p TR/ set-up</t>
        </is>
      </c>
      <c r="K14" s="48" t="n">
        <v>3</v>
      </c>
      <c r="L14" s="56" t="inlineStr">
        <is>
          <t>8a-6p f6  CC B@1p</t>
        </is>
      </c>
      <c r="M14" s="48" t="n">
        <v>9.5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163" t="inlineStr">
        <is>
          <t>Chinnesha C</t>
        </is>
      </c>
      <c r="B15" s="56" t="inlineStr">
        <is>
          <t>CC 11a-3:30f2/ B@3:30 / 4-7 f6</t>
        </is>
      </c>
      <c r="C15" s="48" t="n">
        <v>7.5</v>
      </c>
      <c r="D15" s="283" t="n"/>
      <c r="E15" s="48" t="n"/>
      <c r="F15" s="56" t="inlineStr">
        <is>
          <t>11a-7p f6 CC B@4</t>
        </is>
      </c>
      <c r="G15" s="48" t="n">
        <v>7.5</v>
      </c>
      <c r="H15" s="56" t="inlineStr">
        <is>
          <t>11a-7p f6 CC</t>
        </is>
      </c>
      <c r="I15" s="48" t="n">
        <v>7.5</v>
      </c>
      <c r="J15" s="56" t="inlineStr">
        <is>
          <t>11a-1p f2/ 1-7p f6 CC B@3</t>
        </is>
      </c>
      <c r="K15" s="48" t="n">
        <v>7.5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7:30a-5p ground B@12p</t>
        </is>
      </c>
      <c r="C16" s="48" t="n">
        <v>8.5</v>
      </c>
      <c r="D16" s="45" t="n"/>
      <c r="E16" s="48" t="n"/>
      <c r="F16" s="45" t="n"/>
      <c r="G16" s="48" t="n"/>
      <c r="H16" s="45" t="inlineStr">
        <is>
          <t>7:30a-6p ground B@12pm</t>
        </is>
      </c>
      <c r="I16" s="48" t="n">
        <v>10</v>
      </c>
      <c r="J16" s="141" t="n"/>
      <c r="K16" s="18" t="n"/>
      <c r="L16" s="45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 xml:space="preserve">Juan Carlos </t>
        </is>
      </c>
      <c r="B17" s="45" t="inlineStr">
        <is>
          <t>4-5 f2/5-6 ground/ 6-7:30 closing</t>
        </is>
      </c>
      <c r="C17" s="48" t="n">
        <v>3.5</v>
      </c>
      <c r="D17" s="69" t="n"/>
      <c r="E17" s="48" t="n"/>
      <c r="F17" s="45" t="inlineStr">
        <is>
          <t>4-5 f2/5-6 ground/ 6-7:30 closing SOLO</t>
        </is>
      </c>
      <c r="G17" s="48" t="n">
        <v>3.5</v>
      </c>
      <c r="H17" s="45" t="inlineStr">
        <is>
          <t>4-6:30 f2/ 6:30-7:30 closing SOLO</t>
        </is>
      </c>
      <c r="I17" s="48" t="n">
        <v>3.5</v>
      </c>
      <c r="J17" s="141" t="n"/>
      <c r="K17" s="18" t="n"/>
      <c r="L17" s="45" t="inlineStr">
        <is>
          <t>RO</t>
        </is>
      </c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32" customHeight="1">
      <c r="A18" s="45" t="inlineStr">
        <is>
          <t>Intern Sara Karimi 5</t>
        </is>
      </c>
      <c r="B18" s="82" t="n"/>
      <c r="C18" s="18" t="n"/>
      <c r="D18" s="82" t="inlineStr">
        <is>
          <t>1p-6p ground TR</t>
        </is>
      </c>
      <c r="E18" s="18" t="n">
        <v>5</v>
      </c>
      <c r="F18" s="82" t="n"/>
      <c r="G18" s="18" t="n"/>
      <c r="H18" s="85" t="inlineStr">
        <is>
          <t>12p-12:30 Ground/ 12:30-6 f2/ event</t>
        </is>
      </c>
      <c r="I18" s="18" t="n">
        <v>5.5</v>
      </c>
      <c r="J18" s="82" t="inlineStr">
        <is>
          <t>11a-4p ground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6" customHeight="1">
      <c r="A19" s="45" t="inlineStr">
        <is>
          <t>Intern Mickaela G 5</t>
        </is>
      </c>
      <c r="B19" s="82" t="n"/>
      <c r="C19" s="18" t="n"/>
      <c r="D19" s="82" t="inlineStr">
        <is>
          <t>12p-7:30p f2</t>
        </is>
      </c>
      <c r="E19" s="18" t="n">
        <v>7</v>
      </c>
      <c r="F19" s="86" t="inlineStr">
        <is>
          <t>10a-12p event/ 12-3 f2</t>
        </is>
      </c>
      <c r="G19" s="18" t="n">
        <v>5</v>
      </c>
      <c r="H19" s="269" t="inlineStr">
        <is>
          <t>9a-12p set-up w PABLO</t>
        </is>
      </c>
      <c r="I19" s="18" t="n">
        <v>3</v>
      </c>
      <c r="J19" s="141" t="n"/>
      <c r="K19" s="18" t="n"/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20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9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9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9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 xml:space="preserve"> </t>
        </is>
      </c>
    </row>
    <row r="32" ht="16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 fitToPage="1"/>
  </sheetPr>
  <dimension ref="A1:U32"/>
  <sheetViews>
    <sheetView zoomScale="70" zoomScaleNormal="70" workbookViewId="0">
      <selection activeCell="J4" sqref="J4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46055</v>
      </c>
      <c r="C2" s="6" t="n"/>
      <c r="D2" s="5" t="n">
        <v>46056</v>
      </c>
      <c r="E2" s="6" t="n"/>
      <c r="F2" s="5" t="n">
        <v>46057</v>
      </c>
      <c r="G2" s="6" t="n"/>
      <c r="H2" s="5" t="n">
        <v>46058</v>
      </c>
      <c r="I2" s="6" t="n"/>
      <c r="J2" s="5" t="n">
        <v>46059</v>
      </c>
      <c r="K2" s="6" t="n"/>
      <c r="L2" s="5" t="n">
        <v>46060</v>
      </c>
      <c r="M2" s="6" t="n"/>
      <c r="N2" s="5" t="n">
        <v>46061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10am - CC Training 2ndF meeting room</t>
        </is>
      </c>
      <c r="C3" s="10" t="n"/>
      <c r="D3" s="62" t="n"/>
      <c r="E3" s="10" t="n"/>
      <c r="F3" s="62" t="inlineStr">
        <is>
          <t>Vega SLT meet - setup by 8:30am</t>
        </is>
      </c>
      <c r="G3" s="11" t="n"/>
      <c r="H3" s="272" t="n"/>
      <c r="I3" s="10" t="n"/>
      <c r="J3" s="9" t="n"/>
      <c r="K3" s="10" t="n"/>
      <c r="L3" s="9" t="inlineStr">
        <is>
          <t>TV+electrical install</t>
        </is>
      </c>
      <c r="M3" s="13" t="n"/>
      <c r="N3" s="9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9a-7pm</t>
        </is>
      </c>
      <c r="C4" s="18" t="n">
        <v>10</v>
      </c>
      <c r="D4" s="19" t="inlineStr">
        <is>
          <t>9:30a-4p</t>
        </is>
      </c>
      <c r="E4" s="18" t="n">
        <v>6.5</v>
      </c>
      <c r="F4" s="19" t="inlineStr">
        <is>
          <t>9:30a-7 (Fran NA 12:30-4:30pm)</t>
        </is>
      </c>
      <c r="G4" s="18" t="n">
        <v>9.5</v>
      </c>
      <c r="H4" s="19" t="inlineStr">
        <is>
          <t>9:30a-7p</t>
        </is>
      </c>
      <c r="I4" s="18" t="n">
        <v>9.5</v>
      </c>
      <c r="J4" s="19" t="inlineStr">
        <is>
          <t>9a-5p</t>
        </is>
      </c>
      <c r="K4" s="18" t="n">
        <v>8</v>
      </c>
      <c r="L4" s="28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Pablo</t>
        </is>
      </c>
      <c r="B6" s="33" t="inlineStr">
        <is>
          <t>12p-7:30p f2 closer</t>
        </is>
      </c>
      <c r="C6" s="48" t="n">
        <v>7</v>
      </c>
      <c r="D6" s="45" t="inlineStr">
        <is>
          <t>11:30a-2:30p set-up/ B@2:30/ 3p-7:30p f2</t>
        </is>
      </c>
      <c r="E6" s="48" t="n">
        <v>7.5</v>
      </c>
      <c r="F6" s="45" t="inlineStr">
        <is>
          <t>12:30p-6p gr B@2</t>
        </is>
      </c>
      <c r="G6" s="48" t="n">
        <v>5</v>
      </c>
      <c r="H6" s="129" t="inlineStr">
        <is>
          <t>7:45a-11:45a f2</t>
        </is>
      </c>
      <c r="I6" s="48" t="n"/>
      <c r="J6" s="18" t="inlineStr">
        <is>
          <t>7:45a-11:45a f2</t>
        </is>
      </c>
      <c r="K6" s="48" t="n">
        <v>4</v>
      </c>
      <c r="L6" s="45" t="inlineStr">
        <is>
          <t>9a-2p w electrician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48" customHeight="1">
      <c r="A7" s="163" t="inlineStr">
        <is>
          <t>Kavya</t>
        </is>
      </c>
      <c r="B7" s="48" t="inlineStr">
        <is>
          <t>7:45a-3:45p f6 B@11a (10a-11a F2 MeetR)</t>
        </is>
      </c>
      <c r="C7" s="48" t="n">
        <v>7.5</v>
      </c>
      <c r="D7" s="48" t="n"/>
      <c r="E7" s="48" t="n"/>
      <c r="F7" s="155" t="inlineStr">
        <is>
          <t>7:45a-11:45a f6</t>
        </is>
      </c>
      <c r="G7" s="48" t="n">
        <v>4</v>
      </c>
      <c r="H7" s="155" t="inlineStr">
        <is>
          <t>7:45a-11:45a f6</t>
        </is>
      </c>
      <c r="I7" s="48" t="n">
        <v>4</v>
      </c>
      <c r="J7" s="48" t="inlineStr">
        <is>
          <t>7:45a-4:45p f6 B@1:30</t>
        </is>
      </c>
      <c r="K7" s="48" t="n">
        <v>8.5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4" customHeight="1">
      <c r="A8" s="128" t="inlineStr">
        <is>
          <t>Taran</t>
        </is>
      </c>
      <c r="B8" s="38" t="n"/>
      <c r="C8" s="48" t="n"/>
      <c r="D8" s="153" t="inlineStr">
        <is>
          <t>8a-3p f2 B@11a</t>
        </is>
      </c>
      <c r="E8" s="48" t="n">
        <v>6.5</v>
      </c>
      <c r="F8" s="48" t="inlineStr">
        <is>
          <t>8a-1p f2</t>
        </is>
      </c>
      <c r="G8" s="48" t="n">
        <v>5</v>
      </c>
      <c r="H8" s="48" t="inlineStr">
        <is>
          <t>11a-6:30p f2</t>
        </is>
      </c>
      <c r="I8" s="48" t="n">
        <v>7</v>
      </c>
      <c r="J8" s="30" t="inlineStr">
        <is>
          <t>1-2f6/ 2-3 f2/ 3-6 Ground</t>
        </is>
      </c>
      <c r="K8" s="48" t="n">
        <v>5</v>
      </c>
      <c r="L8" s="45" t="inlineStr">
        <is>
          <t>9:30a-5:30p f2/5:30-6p ground/ 6-7:30 closer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28" t="inlineStr">
        <is>
          <t xml:space="preserve">Marina </t>
        </is>
      </c>
      <c r="B9" s="38" t="n"/>
      <c r="C9" s="48" t="n"/>
      <c r="D9" s="81" t="inlineStr">
        <is>
          <t>RO</t>
        </is>
      </c>
      <c r="E9" s="48" t="n"/>
      <c r="F9" s="38" t="n"/>
      <c r="G9" s="48" t="n"/>
      <c r="H9" s="81" t="inlineStr">
        <is>
          <t>10a-3p ground</t>
        </is>
      </c>
      <c r="I9" s="48" t="n">
        <v>5</v>
      </c>
      <c r="J9" s="81" t="inlineStr">
        <is>
          <t>10a-3p ground</t>
        </is>
      </c>
      <c r="K9" s="48" t="n">
        <v>5</v>
      </c>
      <c r="L9" s="45" t="inlineStr">
        <is>
          <t>7:30a-9:30a f2/ 9:30a-5:30p f6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5.5" customHeight="1">
      <c r="A10" s="128" t="inlineStr">
        <is>
          <t xml:space="preserve">Sagar </t>
        </is>
      </c>
      <c r="B10" s="48" t="inlineStr">
        <is>
          <t>f2 10a-2p</t>
        </is>
      </c>
      <c r="C10" s="48" t="n">
        <v>4</v>
      </c>
      <c r="D10" s="38" t="n"/>
      <c r="E10" s="48" t="n"/>
      <c r="F10" s="48" t="inlineStr">
        <is>
          <t>2p-2:30 GR/ 2:30-3 f2/ 3-5:30 set-up/B@5:30 6-7:30 closer</t>
        </is>
      </c>
      <c r="G10" s="48" t="n">
        <v>5</v>
      </c>
      <c r="H10" s="48" t="inlineStr">
        <is>
          <t>3p-6p ground/ 6-7:30 closer</t>
        </is>
      </c>
      <c r="I10" s="48" t="n">
        <v>4.5</v>
      </c>
      <c r="J10" s="45" t="inlineStr">
        <is>
          <t>11:30a-6p f2/ 6p-7:30p closing</t>
        </is>
      </c>
      <c r="K10" s="48" t="n">
        <v>7.5</v>
      </c>
      <c r="L10" s="48" t="inlineStr">
        <is>
          <t>7:45a -10:45a f6</t>
        </is>
      </c>
      <c r="M10" s="48" t="n">
        <v>3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0" customHeight="1">
      <c r="A11" s="163" t="inlineStr">
        <is>
          <t>Viviana B</t>
        </is>
      </c>
      <c r="B11" s="56" t="inlineStr">
        <is>
          <t>10a-11 f2 meetR/ 11a-7p f6 CC B@3p</t>
        </is>
      </c>
      <c r="C11" s="48" t="n">
        <v>8.5</v>
      </c>
      <c r="D11" s="56" t="inlineStr">
        <is>
          <t>CC f6 11a-7p</t>
        </is>
      </c>
      <c r="E11" s="48" t="n">
        <v>7.5</v>
      </c>
      <c r="F11" s="45" t="inlineStr">
        <is>
          <t>7:30a-12:30 ground</t>
        </is>
      </c>
      <c r="G11" s="48" t="n">
        <v>5</v>
      </c>
      <c r="H11" s="56" t="inlineStr">
        <is>
          <t>CC  7:45a-3:45p f6</t>
        </is>
      </c>
      <c r="I11" s="48" t="n">
        <v>7.5</v>
      </c>
      <c r="J11" s="56" t="n"/>
      <c r="K11" s="48" t="n"/>
      <c r="L11" s="56" t="inlineStr">
        <is>
          <t>7:45a-6:15p f6 CC</t>
        </is>
      </c>
      <c r="M11" s="48" t="n">
        <v>10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16" customHeight="1">
      <c r="A12" s="163" t="inlineStr">
        <is>
          <t>Iqra B</t>
        </is>
      </c>
      <c r="B12" s="56" t="inlineStr">
        <is>
          <t>CC TR 7:45a-3:45p f6</t>
        </is>
      </c>
      <c r="C12" s="48" t="n">
        <v>7.5</v>
      </c>
      <c r="D12" s="56" t="inlineStr">
        <is>
          <t>CC TR 7:45a-3:45p f6</t>
        </is>
      </c>
      <c r="E12" s="48" t="n">
        <v>7.5</v>
      </c>
      <c r="F12" s="56" t="inlineStr">
        <is>
          <t>CC TR 7:45a-3:45p f6</t>
        </is>
      </c>
      <c r="G12" s="48" t="n">
        <v>7.5</v>
      </c>
      <c r="H12" s="56" t="n"/>
      <c r="I12" s="48" t="n"/>
      <c r="J12" s="38" t="n"/>
      <c r="K12" s="48" t="n"/>
      <c r="L12" s="56" t="n"/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8" customHeight="1">
      <c r="A13" s="60" t="inlineStr">
        <is>
          <t>Anastasia B</t>
        </is>
      </c>
      <c r="B13" s="82" t="inlineStr">
        <is>
          <t>10a-5p w fran / (10a-11a F2 MeetR) 5:30-6p ground</t>
        </is>
      </c>
      <c r="C13" s="18" t="n">
        <v>7.5</v>
      </c>
      <c r="D13" s="82" t="inlineStr">
        <is>
          <t>10a-5p w fran / 5:30-6p ground</t>
        </is>
      </c>
      <c r="E13" s="18" t="n">
        <v>7.5</v>
      </c>
      <c r="F13" s="82" t="n"/>
      <c r="G13" s="18" t="n"/>
      <c r="H13" s="82" t="inlineStr">
        <is>
          <t>10a-5p w fran</t>
        </is>
      </c>
      <c r="I13" s="18" t="n">
        <v>6.5</v>
      </c>
      <c r="J13" s="56" t="inlineStr">
        <is>
          <t>9a-7p f6 CC</t>
        </is>
      </c>
      <c r="K13" s="48" t="n">
        <v>9.5</v>
      </c>
      <c r="L13" s="56" t="inlineStr">
        <is>
          <t>10a-7p f2 CC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4" customHeight="1">
      <c r="A14" s="163" t="inlineStr">
        <is>
          <t>Daria C</t>
        </is>
      </c>
      <c r="B14" s="45" t="inlineStr">
        <is>
          <t>7:30a-3:30a f2 (10a-11a F2 MeetR)</t>
        </is>
      </c>
      <c r="C14" s="48" t="n">
        <v>7.5</v>
      </c>
      <c r="D14" s="48" t="inlineStr">
        <is>
          <t>7:45a-3:45p f6 B@11a</t>
        </is>
      </c>
      <c r="E14" s="48" t="n">
        <v>7.5</v>
      </c>
      <c r="F14" s="48" t="inlineStr">
        <is>
          <t>7:30-9:30a event 607/ 9:30a-11:30 w fran/ B@11:30/ 12-1w aashima/ 1-6:30 f2</t>
        </is>
      </c>
      <c r="G14" s="48" t="n">
        <v>10</v>
      </c>
      <c r="H14" s="155" t="inlineStr">
        <is>
          <t>7:30a-10:30a ground</t>
        </is>
      </c>
      <c r="I14" s="48" t="n">
        <v>3</v>
      </c>
      <c r="J14" s="45" t="inlineStr">
        <is>
          <t>7:30a-10:30a ground</t>
        </is>
      </c>
      <c r="K14" s="48" t="n">
        <v>3</v>
      </c>
      <c r="L14" s="4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6" customHeight="1">
      <c r="A15" s="163" t="inlineStr">
        <is>
          <t>Chinnesha C</t>
        </is>
      </c>
      <c r="B15" s="56" t="inlineStr">
        <is>
          <t>RO</t>
        </is>
      </c>
      <c r="C15" s="48" t="n"/>
      <c r="D15" s="283" t="n"/>
      <c r="E15" s="48" t="n"/>
      <c r="F15" s="56" t="inlineStr">
        <is>
          <t>10a-7p f6 CC B@3p</t>
        </is>
      </c>
      <c r="G15" s="48" t="n">
        <v>8.5</v>
      </c>
      <c r="H15" s="56" t="inlineStr">
        <is>
          <t>11a-7p f6 CC B@3</t>
        </is>
      </c>
      <c r="I15" s="48" t="n">
        <v>7.5</v>
      </c>
      <c r="J15" s="56" t="inlineStr">
        <is>
          <t>CC  8a-6p f2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inlineStr">
        <is>
          <t>7:30a-5:30pm ground</t>
        </is>
      </c>
      <c r="C16" s="48" t="n">
        <v>9.5</v>
      </c>
      <c r="D16" s="45" t="inlineStr">
        <is>
          <t>7:30a-5:30pm ground B@10</t>
        </is>
      </c>
      <c r="E16" s="48" t="n">
        <v>9.5</v>
      </c>
      <c r="F16" s="45" t="n"/>
      <c r="G16" s="48" t="n"/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Juan Carlos TRAINING</t>
        </is>
      </c>
      <c r="B17" s="45" t="inlineStr">
        <is>
          <t>4p-7:30p TR w Pablo</t>
        </is>
      </c>
      <c r="C17" s="48" t="n">
        <v>3.5</v>
      </c>
      <c r="D17" s="69" t="n"/>
      <c r="E17" s="48" t="n"/>
      <c r="F17" s="45" t="inlineStr">
        <is>
          <t>4p-7:30p TR w Sagar</t>
        </is>
      </c>
      <c r="G17" s="48" t="n">
        <v>3.5</v>
      </c>
      <c r="H17" s="45" t="n"/>
      <c r="I17" s="48" t="n"/>
      <c r="J17" s="141" t="n"/>
      <c r="K17" s="18" t="n"/>
      <c r="L17" s="45" t="inlineStr">
        <is>
          <t>2:30p-7:30pm TR w Taran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16" customHeight="1">
      <c r="A18" s="45" t="inlineStr">
        <is>
          <t>Intern Sara Karimi 4</t>
        </is>
      </c>
      <c r="B18" s="82" t="inlineStr">
        <is>
          <t>8a-1p f6 TR Kavya</t>
        </is>
      </c>
      <c r="C18" s="18" t="n">
        <v>5.5</v>
      </c>
      <c r="D18" s="82" t="n"/>
      <c r="E18" s="18" t="n"/>
      <c r="F18" s="82" t="n"/>
      <c r="G18" s="18" t="n"/>
      <c r="H18" s="85" t="inlineStr">
        <is>
          <t>8a-6p TR CC f6</t>
        </is>
      </c>
      <c r="I18" s="18" t="n">
        <v>9.5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48" customHeight="1">
      <c r="A19" s="45" t="inlineStr">
        <is>
          <t>Intern Mickaela G 4</t>
        </is>
      </c>
      <c r="B19" s="82" t="n"/>
      <c r="C19" s="18" t="n"/>
      <c r="D19" s="82" t="inlineStr">
        <is>
          <t>10a-10:30 GR/ 10:30-11 f6/ 11-11:30 f2/ 11:30-2p f2 elev</t>
        </is>
      </c>
      <c r="E19" s="18" t="n">
        <v>4</v>
      </c>
      <c r="F19" s="82" t="inlineStr">
        <is>
          <t>f2 TR 8a-2:30p</t>
        </is>
      </c>
      <c r="G19" s="18" t="n">
        <v>6</v>
      </c>
      <c r="H19" s="269" t="inlineStr">
        <is>
          <t>CC8a-12p TR w Vivi</t>
        </is>
      </c>
      <c r="I19" s="18" t="n">
        <v>4</v>
      </c>
      <c r="J19" s="138" t="inlineStr">
        <is>
          <t>7:45a-12:45a f2 w Chinni</t>
        </is>
      </c>
      <c r="K19" s="18" t="n">
        <v>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16" customHeight="1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20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20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9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9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9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 xml:space="preserve"> </t>
        </is>
      </c>
    </row>
    <row r="32" ht="16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25" right="0.25" top="0.75" bottom="0.75" header="0.3" footer="0.3"/>
  <pageSetup orientation="portrait" scale="41" fitToHeight="0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zoomScaleNormal="100" zoomScaleSheetLayoutView="100" workbookViewId="0">
      <selection activeCell="H15" sqref="H15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19.83203125" bestFit="1" customWidth="1" min="4" max="4"/>
    <col width="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8.83203125" bestFit="1" customWidth="1" min="17" max="20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46048</v>
      </c>
      <c r="C2" s="6" t="n"/>
      <c r="D2" s="5" t="n">
        <v>46049</v>
      </c>
      <c r="E2" s="6" t="n"/>
      <c r="F2" s="5" t="n">
        <v>46050</v>
      </c>
      <c r="G2" s="6" t="n"/>
      <c r="H2" s="5" t="n">
        <v>46051</v>
      </c>
      <c r="I2" s="6" t="n"/>
      <c r="J2" s="5" t="n">
        <v>46052</v>
      </c>
      <c r="K2" s="6" t="n"/>
      <c r="L2" s="5" t="n">
        <v>46053</v>
      </c>
      <c r="M2" s="6" t="n"/>
      <c r="N2" s="5" t="n">
        <v>46054</v>
      </c>
      <c r="O2" s="7" t="n"/>
      <c r="P2" s="3" t="n"/>
    </row>
    <row r="3" ht="16" customHeight="1">
      <c r="A3" s="8" t="inlineStr">
        <is>
          <t>EVENTS</t>
        </is>
      </c>
      <c r="B3" s="9" t="inlineStr">
        <is>
          <t>Snow Day</t>
        </is>
      </c>
      <c r="C3" s="10" t="n"/>
      <c r="D3" s="9" t="n"/>
      <c r="E3" s="10" t="n"/>
      <c r="F3" s="9" t="n"/>
      <c r="G3" s="11" t="n"/>
      <c r="H3" s="272" t="inlineStr">
        <is>
          <t>Peter Farewell 1-2pm</t>
        </is>
      </c>
      <c r="I3" s="10" t="n"/>
      <c r="J3" s="9" t="n"/>
      <c r="K3" s="10" t="n"/>
      <c r="L3" s="9" t="n"/>
      <c r="M3" s="13" t="n"/>
      <c r="N3" s="9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9:30a-7:30p</t>
        </is>
      </c>
      <c r="E4" s="18" t="n">
        <v>10</v>
      </c>
      <c r="F4" s="19" t="inlineStr">
        <is>
          <t>9a-5:30</t>
        </is>
      </c>
      <c r="G4" s="18" t="n">
        <v>8.5</v>
      </c>
      <c r="H4" s="19" t="inlineStr">
        <is>
          <t>9a-5</t>
        </is>
      </c>
      <c r="I4" s="18" t="n">
        <v>8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8" customHeight="1">
      <c r="A6" s="277" t="inlineStr">
        <is>
          <t>Pablo</t>
        </is>
      </c>
      <c r="B6" s="278" t="inlineStr">
        <is>
          <t>Snow Day</t>
        </is>
      </c>
      <c r="C6" s="279" t="n"/>
      <c r="D6" s="280" t="inlineStr">
        <is>
          <t>3p-7:30p f2/ closer</t>
        </is>
      </c>
      <c r="E6" s="48" t="n">
        <v>4.5</v>
      </c>
      <c r="F6" s="45" t="inlineStr">
        <is>
          <t>9a-12:30 set-up/ 12:30-6p gr B@2</t>
        </is>
      </c>
      <c r="G6" s="48" t="n">
        <v>8.5</v>
      </c>
      <c r="H6" s="129" t="inlineStr">
        <is>
          <t>7:45a-11:45a f2</t>
        </is>
      </c>
      <c r="I6" s="48" t="n">
        <v>4</v>
      </c>
      <c r="J6" s="18" t="inlineStr">
        <is>
          <t>7:45a-11:45a f2/ B@11:45/ 12:15p-3:45 w fran</t>
        </is>
      </c>
      <c r="K6" s="48" t="n">
        <v>7.5</v>
      </c>
      <c r="L6" s="45" t="inlineStr">
        <is>
          <t>10a-3pm set-up vending machines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275" t="inlineStr">
        <is>
          <t>Daria C</t>
        </is>
      </c>
      <c r="B7" s="167" t="inlineStr">
        <is>
          <t>12:00-2:00pm project</t>
        </is>
      </c>
      <c r="C7" s="167" t="n">
        <v>2</v>
      </c>
      <c r="D7" s="167" t="inlineStr">
        <is>
          <t>7:45a-3:45p f6 B@10:30a</t>
        </is>
      </c>
      <c r="E7" s="73" t="n">
        <v>7.5</v>
      </c>
      <c r="F7" s="82" t="inlineStr">
        <is>
          <t>10a-5:30p w fran</t>
        </is>
      </c>
      <c r="G7" s="18" t="n">
        <v>7</v>
      </c>
      <c r="H7" s="155" t="inlineStr">
        <is>
          <t>7:30a-10:30a ground</t>
        </is>
      </c>
      <c r="I7" s="48" t="n">
        <v>3</v>
      </c>
      <c r="J7" s="45" t="inlineStr">
        <is>
          <t xml:space="preserve">7:30a-1 GR/ B@1/ 1:30-2 f6/ 2-2:30 f2 </t>
        </is>
      </c>
      <c r="K7" s="48" t="n">
        <v>6.5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8" customHeight="1">
      <c r="A8" s="275" t="inlineStr">
        <is>
          <t>Kavya</t>
        </is>
      </c>
      <c r="B8" s="276" t="inlineStr">
        <is>
          <t>7:45a-3:45p CC B@11a</t>
        </is>
      </c>
      <c r="C8" s="167" t="n">
        <v>7.5</v>
      </c>
      <c r="D8" s="167" t="inlineStr">
        <is>
          <t>10a-10:30 GR/ 10:30-11 f6/ 11-11:30 f2/ 11:30-2p f2 elev</t>
        </is>
      </c>
      <c r="E8" s="73" t="n">
        <v>4</v>
      </c>
      <c r="F8" s="155" t="inlineStr">
        <is>
          <t>7:45a-11:45a f6</t>
        </is>
      </c>
      <c r="G8" s="48" t="n">
        <v>4</v>
      </c>
      <c r="H8" s="155" t="inlineStr">
        <is>
          <t>7:45a-12p f6</t>
        </is>
      </c>
      <c r="I8" s="48" t="n">
        <v>4.25</v>
      </c>
      <c r="J8" s="48" t="inlineStr">
        <is>
          <t>7:45a-4:45p f6 B@1:30</t>
        </is>
      </c>
      <c r="K8" s="48" t="n">
        <v>8.5</v>
      </c>
      <c r="L8" s="38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16" customHeight="1">
      <c r="A9" s="163" t="inlineStr">
        <is>
          <t>Chinnesha C</t>
        </is>
      </c>
      <c r="B9" s="281" t="inlineStr">
        <is>
          <t>10a-7p f6 CC B@3p</t>
        </is>
      </c>
      <c r="C9" s="61" t="n">
        <v>8.5</v>
      </c>
      <c r="D9" s="287" t="n"/>
      <c r="E9" s="48" t="n"/>
      <c r="F9" s="56" t="inlineStr">
        <is>
          <t>10a-7p f6 CC B@3p</t>
        </is>
      </c>
      <c r="G9" s="48" t="n">
        <v>8.5</v>
      </c>
      <c r="H9" s="56" t="inlineStr">
        <is>
          <t>11a-7p f6 CC B@3</t>
        </is>
      </c>
      <c r="I9" s="48" t="n">
        <v>7.5</v>
      </c>
      <c r="J9" s="56" t="inlineStr">
        <is>
          <t>CC  8a-6p f2</t>
        </is>
      </c>
      <c r="K9" s="48" t="n">
        <v>9.5</v>
      </c>
      <c r="L9" s="273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64" customHeight="1">
      <c r="A10" s="128" t="inlineStr">
        <is>
          <t>Taran</t>
        </is>
      </c>
      <c r="B10" s="38" t="n"/>
      <c r="C10" s="48" t="n"/>
      <c r="D10" s="153" t="inlineStr">
        <is>
          <t>8a-3p f2 B@11a</t>
        </is>
      </c>
      <c r="E10" s="48" t="n">
        <v>6.5</v>
      </c>
      <c r="F10" s="48" t="inlineStr">
        <is>
          <t>8a-6p f2 B@2:30</t>
        </is>
      </c>
      <c r="G10" s="48" t="n">
        <v>9.5</v>
      </c>
      <c r="H10" s="48" t="inlineStr">
        <is>
          <t>Sick</t>
        </is>
      </c>
      <c r="I10" s="48" t="n"/>
      <c r="J10" s="30" t="inlineStr">
        <is>
          <t>1p-6 Ground</t>
        </is>
      </c>
      <c r="K10" s="48" t="n">
        <v>5</v>
      </c>
      <c r="L10" s="45" t="inlineStr">
        <is>
          <t>9:30a-5:30p f2/5:30-6p ground/ 6-7:30 closer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28" t="inlineStr">
        <is>
          <t xml:space="preserve">Marina </t>
        </is>
      </c>
      <c r="B11" s="38" t="n"/>
      <c r="C11" s="48" t="n"/>
      <c r="D11" s="81" t="inlineStr">
        <is>
          <t>RO class</t>
        </is>
      </c>
      <c r="E11" s="48" t="n"/>
      <c r="F11" s="38" t="n"/>
      <c r="G11" s="48" t="n"/>
      <c r="H11" s="81" t="inlineStr">
        <is>
          <t>10a-3p ground</t>
        </is>
      </c>
      <c r="I11" s="48" t="n">
        <v>5</v>
      </c>
      <c r="J11" s="81" t="n"/>
      <c r="K11" s="48" t="n"/>
      <c r="L11" s="45" t="inlineStr">
        <is>
          <t>7:30a-9:30a f2/ 9:30a-5:30p f6</t>
        </is>
      </c>
      <c r="M11" s="48" t="n">
        <v>9.5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63" t="inlineStr">
        <is>
          <t>Viviana B</t>
        </is>
      </c>
      <c r="B12" s="56" t="n"/>
      <c r="C12" s="48" t="n"/>
      <c r="D12" s="56" t="inlineStr">
        <is>
          <t>CC f6 9:30a-7p</t>
        </is>
      </c>
      <c r="E12" s="48" t="n">
        <v>9</v>
      </c>
      <c r="F12" s="56" t="n"/>
      <c r="G12" s="48" t="n"/>
      <c r="H12" s="56" t="inlineStr">
        <is>
          <t>CC  7:45a-3:45p f6</t>
        </is>
      </c>
      <c r="I12" s="48" t="n">
        <v>7.5</v>
      </c>
      <c r="J12" s="56" t="inlineStr">
        <is>
          <t>9a-7p f6 CC</t>
        </is>
      </c>
      <c r="K12" s="48" t="n">
        <v>9.5</v>
      </c>
      <c r="L12" s="56" t="inlineStr">
        <is>
          <t>7:45a-6:15p f6 CC</t>
        </is>
      </c>
      <c r="M12" s="48" t="n">
        <v>10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5.25" customHeight="1">
      <c r="A13" s="163" t="inlineStr">
        <is>
          <t>Iqra B</t>
        </is>
      </c>
      <c r="B13" s="56" t="inlineStr">
        <is>
          <t>CC TR 7:45a-3:45p f6</t>
        </is>
      </c>
      <c r="C13" s="48" t="n">
        <v>7.5</v>
      </c>
      <c r="D13" s="56" t="inlineStr">
        <is>
          <t>CC TR 7:45a-3:45p f6</t>
        </is>
      </c>
      <c r="E13" s="48" t="n">
        <v>7.5</v>
      </c>
      <c r="F13" s="56" t="inlineStr">
        <is>
          <t>CC TR 7:45a-3:45p f6</t>
        </is>
      </c>
      <c r="G13" s="48" t="n">
        <v>7.5</v>
      </c>
      <c r="H13" s="56" t="n"/>
      <c r="I13" s="48" t="n"/>
      <c r="J13" s="38" t="n"/>
      <c r="K13" s="48" t="n"/>
      <c r="L13" s="56" t="n"/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8" customHeight="1">
      <c r="A14" s="128" t="inlineStr">
        <is>
          <t xml:space="preserve">Sagar </t>
        </is>
      </c>
      <c r="B14" s="48" t="n"/>
      <c r="C14" s="48" t="n"/>
      <c r="D14" s="38" t="n"/>
      <c r="E14" s="48" t="n"/>
      <c r="F14" s="48" t="inlineStr">
        <is>
          <t>2p-2:30 GR/ 2:30-3 f2/ 3-5:30 f6 / B@5:30 6-7:30 closer</t>
        </is>
      </c>
      <c r="G14" s="48" t="n">
        <v>5</v>
      </c>
      <c r="H14" s="48" t="inlineStr">
        <is>
          <t>3p-6p ground/ 6-7:30 closer</t>
        </is>
      </c>
      <c r="I14" s="48" t="n">
        <v>4.5</v>
      </c>
      <c r="J14" s="45" t="inlineStr">
        <is>
          <t>11:30a-6p f2/ 6p-7:30p closing B@2</t>
        </is>
      </c>
      <c r="K14" s="48" t="n">
        <v>7.5</v>
      </c>
      <c r="L14" s="48" t="inlineStr">
        <is>
          <t>7:45a -10:45a f6</t>
        </is>
      </c>
      <c r="M14" s="48" t="n">
        <v>3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2" customHeight="1">
      <c r="A15" s="60" t="inlineStr">
        <is>
          <t>Anastasia B</t>
        </is>
      </c>
      <c r="B15" s="18" t="inlineStr">
        <is>
          <t>3:00- 4:00 proj</t>
        </is>
      </c>
      <c r="C15" s="18" t="n">
        <v>1</v>
      </c>
      <c r="D15" s="82" t="inlineStr">
        <is>
          <t>10a-5p w fran / 5:30-6p ground</t>
        </is>
      </c>
      <c r="E15" s="18" t="n">
        <v>7.5</v>
      </c>
      <c r="F15" s="82" t="n"/>
      <c r="G15" s="18" t="n"/>
      <c r="H15" s="82" t="inlineStr">
        <is>
          <t>10a-6:30p w fran</t>
        </is>
      </c>
      <c r="I15" s="18" t="n">
        <v>8</v>
      </c>
      <c r="J15" s="85" t="n"/>
      <c r="K15" s="18" t="n"/>
      <c r="L15" s="56" t="inlineStr">
        <is>
          <t>10a-7p f2 CC</t>
        </is>
      </c>
      <c r="M15" s="48" t="n">
        <v>8.5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Francisco C</t>
        </is>
      </c>
      <c r="B16" s="45" t="n"/>
      <c r="C16" s="48" t="n"/>
      <c r="D16" s="45" t="inlineStr">
        <is>
          <t>7:30a-5:30pm ground B@10</t>
        </is>
      </c>
      <c r="E16" s="48" t="n">
        <v>9.5</v>
      </c>
      <c r="F16" s="45" t="inlineStr">
        <is>
          <t>7:30a-12:30 ground</t>
        </is>
      </c>
      <c r="G16" s="48" t="n">
        <v>5</v>
      </c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</row>
    <row r="17" ht="16" customHeight="1">
      <c r="A17" s="45" t="inlineStr">
        <is>
          <t>Intern Sara Karimi 3</t>
        </is>
      </c>
      <c r="B17" s="82" t="n"/>
      <c r="C17" s="18" t="n"/>
      <c r="D17" s="82" t="n"/>
      <c r="E17" s="18" t="n"/>
      <c r="F17" s="82" t="n"/>
      <c r="G17" s="18" t="n"/>
      <c r="H17" s="85" t="inlineStr">
        <is>
          <t>8a-6p TR f2</t>
        </is>
      </c>
      <c r="I17" s="18" t="n">
        <v>9.5</v>
      </c>
      <c r="J17" s="82" t="inlineStr">
        <is>
          <t>10-4p G floor</t>
        </is>
      </c>
      <c r="K17" s="18" t="n">
        <v>5.5</v>
      </c>
      <c r="L17" s="268" t="n"/>
      <c r="M17" s="18" t="n"/>
      <c r="N17" s="18" t="n"/>
      <c r="O17" s="18" t="n"/>
      <c r="P17" s="3">
        <f>SUM(O17,M17,K17,I17,G17,E17,C17)</f>
        <v/>
      </c>
    </row>
    <row r="18" ht="16" customHeight="1">
      <c r="A18" s="45" t="inlineStr">
        <is>
          <t>Intern Mickaela G 3</t>
        </is>
      </c>
      <c r="B18" s="82" t="inlineStr">
        <is>
          <t>RO</t>
        </is>
      </c>
      <c r="C18" s="18" t="n"/>
      <c r="D18" s="82" t="n"/>
      <c r="E18" s="18" t="n"/>
      <c r="F18" s="82" t="inlineStr">
        <is>
          <t>f2 TR 8a-2:30p</t>
        </is>
      </c>
      <c r="G18" s="18" t="n">
        <v>6</v>
      </c>
      <c r="H18" s="269" t="inlineStr">
        <is>
          <t>8a-12p TR w Kavya</t>
        </is>
      </c>
      <c r="I18" s="18" t="n">
        <v>4</v>
      </c>
      <c r="J18" s="138" t="inlineStr">
        <is>
          <t>7:45a-12:45a f2 TR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SUM(C7:C15)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 ht="16" customHeight="1" thickBot="1">
      <c r="A22" s="264" t="inlineStr">
        <is>
          <t>Shifts  Will Vary based on class schedule, business demand, Availability &amp; RO's</t>
        </is>
      </c>
      <c r="B22" s="264" t="n"/>
      <c r="C22" s="439" t="n"/>
      <c r="D22" s="121" t="n"/>
    </row>
    <row r="23" ht="20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  <c r="T26" t="inlineStr">
        <is>
          <t xml:space="preserve"> </t>
        </is>
      </c>
    </row>
    <row r="27" ht="20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</row>
    <row r="28" ht="3.75" customHeight="1">
      <c r="A28" s="150" t="inlineStr">
        <is>
          <t>12-3p</t>
        </is>
      </c>
      <c r="D28" s="442" t="inlineStr">
        <is>
          <t>first 30 hours Intro w elevator + support open/CL</t>
        </is>
      </c>
      <c r="J28" s="443" t="n"/>
    </row>
    <row r="29" ht="19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9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6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topLeftCell="A6" zoomScale="70" zoomScaleNormal="70" workbookViewId="0">
      <selection activeCell="H18" sqref="H18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bestFit="1" customWidth="1" min="11" max="11"/>
    <col width="18.5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45676</v>
      </c>
      <c r="C2" s="6" t="n"/>
      <c r="D2" s="5" t="n">
        <v>45677</v>
      </c>
      <c r="E2" s="6" t="n"/>
      <c r="F2" s="5" t="n">
        <v>45678</v>
      </c>
      <c r="G2" s="6" t="n"/>
      <c r="H2" s="5" t="n">
        <v>45679</v>
      </c>
      <c r="I2" s="6" t="n"/>
      <c r="J2" s="5" t="n">
        <v>45680</v>
      </c>
      <c r="K2" s="6" t="n"/>
      <c r="L2" s="5" t="n">
        <v>45681</v>
      </c>
      <c r="M2" s="6" t="n"/>
      <c r="N2" s="5" t="n">
        <v>45682</v>
      </c>
      <c r="O2" s="7" t="n"/>
      <c r="P2" s="3" t="n"/>
    </row>
    <row r="3" ht="63" customHeight="1">
      <c r="A3" s="8" t="inlineStr">
        <is>
          <t>EVENTS</t>
        </is>
      </c>
      <c r="B3" s="9" t="n"/>
      <c r="C3" s="10" t="n"/>
      <c r="D3" s="9" t="n"/>
      <c r="E3" s="10" t="n"/>
      <c r="F3" s="9" t="n"/>
      <c r="G3" s="11" t="n"/>
      <c r="H3" s="267" t="inlineStr">
        <is>
          <t xml:space="preserve">Recruitment meet F&amp;B : 2 to 4  - 6B 8 ppl </t>
        </is>
      </c>
      <c r="I3" s="10" t="n"/>
      <c r="J3" s="9" t="n"/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9:30a-6p</t>
        </is>
      </c>
      <c r="E4" s="18" t="n">
        <v>8.5</v>
      </c>
      <c r="F4" s="19" t="inlineStr">
        <is>
          <t>9a-5</t>
        </is>
      </c>
      <c r="G4" s="18" t="n">
        <v>8</v>
      </c>
      <c r="H4" s="19" t="inlineStr">
        <is>
          <t>9a-7p</t>
        </is>
      </c>
      <c r="I4" s="18" t="n">
        <v>10</v>
      </c>
      <c r="J4" s="19" t="inlineStr">
        <is>
          <t>9a-4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Iqra B</t>
        </is>
      </c>
      <c r="B6" s="56" t="inlineStr">
        <is>
          <t>CC 2p-7p f2</t>
        </is>
      </c>
      <c r="C6" s="48" t="n">
        <v>5</v>
      </c>
      <c r="D6" s="56" t="inlineStr">
        <is>
          <t>CC 11a-7p f2</t>
        </is>
      </c>
      <c r="E6" s="48" t="n">
        <v>7.5</v>
      </c>
      <c r="F6" s="56" t="inlineStr">
        <is>
          <t>CC 10a-6p ground</t>
        </is>
      </c>
      <c r="G6" s="48" t="n">
        <v>8.5</v>
      </c>
      <c r="H6" s="56" t="inlineStr">
        <is>
          <t>CC 10a-7p Ground B@1:45p</t>
        </is>
      </c>
      <c r="I6" s="48" t="n">
        <v>8.5</v>
      </c>
      <c r="J6" s="265" t="n"/>
      <c r="K6" s="48" t="n"/>
      <c r="L6" s="56" t="inlineStr">
        <is>
          <t>CC 12p-7p f6 B@2</t>
        </is>
      </c>
      <c r="M6" s="48" t="n">
        <v>6.5</v>
      </c>
      <c r="N6" s="18" t="inlineStr">
        <is>
          <t>OFF</t>
        </is>
      </c>
      <c r="O6" s="18" t="n"/>
      <c r="P6" s="3">
        <f>SUM(O6,M6,K6,I6,G6,E6,C6)</f>
        <v/>
      </c>
    </row>
    <row r="7" ht="32" customHeight="1">
      <c r="A7" s="60" t="inlineStr">
        <is>
          <t>Anastasia B</t>
        </is>
      </c>
      <c r="B7" s="82" t="inlineStr">
        <is>
          <t>8a-6p f6</t>
        </is>
      </c>
      <c r="C7" s="18" t="n">
        <v>9.5</v>
      </c>
      <c r="D7" s="82" t="inlineStr">
        <is>
          <t>11a-1:30p w fran/ B@1:30/ 2p-7p f2</t>
        </is>
      </c>
      <c r="E7" s="18" t="n">
        <v>7.5</v>
      </c>
      <c r="F7" s="85" t="n"/>
      <c r="G7" s="18" t="n"/>
      <c r="H7" s="48" t="inlineStr">
        <is>
          <t>10:30a-2:30p help fran/ B@2:30/ 3-6p f2</t>
        </is>
      </c>
      <c r="I7" s="48" t="n">
        <v>7</v>
      </c>
      <c r="J7" s="85" t="inlineStr">
        <is>
          <t>8a-5p f2</t>
        </is>
      </c>
      <c r="K7" s="18" t="n">
        <v>8.5</v>
      </c>
      <c r="L7" s="48" t="inlineStr">
        <is>
          <t>11a-7p f2</t>
        </is>
      </c>
      <c r="M7" s="48" t="n">
        <v>7.5</v>
      </c>
      <c r="N7" s="18" t="inlineStr">
        <is>
          <t>OFF</t>
        </is>
      </c>
      <c r="O7" s="18" t="n"/>
      <c r="P7" s="3">
        <f>SUM(O7,M7,K7,I7,G7,E7,C7)</f>
        <v/>
      </c>
    </row>
    <row r="8" ht="32" customHeight="1">
      <c r="A8" s="163" t="inlineStr">
        <is>
          <t>Viviana B</t>
        </is>
      </c>
      <c r="B8" s="56" t="inlineStr">
        <is>
          <t>CC 8a-4p f2</t>
        </is>
      </c>
      <c r="C8" s="48" t="n">
        <v>7.5</v>
      </c>
      <c r="D8" s="56" t="inlineStr">
        <is>
          <t>CC 11a-7p f6</t>
        </is>
      </c>
      <c r="E8" s="48" t="n">
        <v>7.5</v>
      </c>
      <c r="F8" s="56" t="inlineStr">
        <is>
          <t>CC 12p-7p f6 B@4</t>
        </is>
      </c>
      <c r="G8" s="48" t="n">
        <v>6.5</v>
      </c>
      <c r="H8" s="56" t="n"/>
      <c r="I8" s="48" t="n"/>
      <c r="J8" s="56" t="inlineStr">
        <is>
          <t>CC 9a-7p f6 B@2</t>
        </is>
      </c>
      <c r="K8" s="48" t="n">
        <v>9.5</v>
      </c>
      <c r="L8" s="56" t="inlineStr">
        <is>
          <t>CC 7:45a-3:15p f6 B@1</t>
        </is>
      </c>
      <c r="M8" s="48" t="n">
        <v>7</v>
      </c>
      <c r="N8" s="18" t="inlineStr">
        <is>
          <t>OFF</t>
        </is>
      </c>
      <c r="O8" s="18" t="n"/>
      <c r="P8" s="3">
        <f>SUM(O8,M8,K8,I8,G8,E8,C8)</f>
        <v/>
      </c>
    </row>
    <row r="9" ht="32" customHeight="1">
      <c r="A9" s="163" t="inlineStr">
        <is>
          <t>Daria C</t>
        </is>
      </c>
      <c r="B9" s="45" t="inlineStr">
        <is>
          <t>7:45a-3:45p f2</t>
        </is>
      </c>
      <c r="C9" s="48" t="n">
        <v>7.5</v>
      </c>
      <c r="D9" s="45" t="inlineStr">
        <is>
          <t>8a-1p f6</t>
        </is>
      </c>
      <c r="E9" s="48" t="n">
        <v>5</v>
      </c>
      <c r="F9" s="45" t="inlineStr">
        <is>
          <t>10a-3p help Fran</t>
        </is>
      </c>
      <c r="G9" s="48" t="n">
        <v>5</v>
      </c>
      <c r="H9" s="133" t="inlineStr">
        <is>
          <t>7:45a-11:45a f6 CC</t>
        </is>
      </c>
      <c r="I9" s="48" t="n">
        <v>4</v>
      </c>
      <c r="J9" s="45" t="inlineStr">
        <is>
          <t>7:30a-10a where needed 10a-4:30p f6</t>
        </is>
      </c>
      <c r="K9" s="48" t="n">
        <v>7.5</v>
      </c>
      <c r="L9" s="48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inlineStr">
        <is>
          <t>6th Floor</t>
        </is>
      </c>
      <c r="S9" s="121" t="inlineStr">
        <is>
          <t>2nd Floor</t>
        </is>
      </c>
      <c r="T9" s="121" t="inlineStr">
        <is>
          <t>Ground</t>
        </is>
      </c>
      <c r="U9" s="121" t="n"/>
    </row>
    <row r="10" ht="32" customHeight="1">
      <c r="A10" s="163" t="inlineStr">
        <is>
          <t>Chinnesha C</t>
        </is>
      </c>
      <c r="B10" s="56" t="inlineStr">
        <is>
          <t>CC 12p-7p f6 B@3</t>
        </is>
      </c>
      <c r="C10" s="48" t="n">
        <v>6.5</v>
      </c>
      <c r="D10" s="262" t="inlineStr">
        <is>
          <t>8a-11a f2</t>
        </is>
      </c>
      <c r="E10" s="48" t="n">
        <v>3</v>
      </c>
      <c r="F10" s="227" t="n"/>
      <c r="G10" s="48" t="n"/>
      <c r="H10" s="56" t="inlineStr">
        <is>
          <t>CC 11a-2:30 f6 /B@2:30 3-6p Ground</t>
        </is>
      </c>
      <c r="I10" s="48" t="n">
        <v>6.5</v>
      </c>
      <c r="J10" s="56" t="inlineStr">
        <is>
          <t>CC 8a-4p f6 B@1</t>
        </is>
      </c>
      <c r="K10" s="48" t="n">
        <v>7.5</v>
      </c>
      <c r="L10" s="211" t="inlineStr">
        <is>
          <t>8a-4:30 f6 B@1:30</t>
        </is>
      </c>
      <c r="M10" s="48" t="n">
        <v>8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260" t="n"/>
      <c r="U10" s="121" t="inlineStr">
        <is>
          <t>CC 8am</t>
        </is>
      </c>
    </row>
    <row r="11" ht="48" customHeight="1">
      <c r="A11" s="45" t="inlineStr">
        <is>
          <t>Francisco C</t>
        </is>
      </c>
      <c r="B11" s="45" t="inlineStr">
        <is>
          <t>7:30a-4:30p Ground</t>
        </is>
      </c>
      <c r="C11" s="48" t="n">
        <v>8.5</v>
      </c>
      <c r="D11" s="45" t="inlineStr">
        <is>
          <t>7:30a-10a Ground/ 10-12:30 help where needed</t>
        </is>
      </c>
      <c r="E11" s="48" t="n">
        <v>5</v>
      </c>
      <c r="F11" s="45" t="inlineStr">
        <is>
          <t>7:30a-10a Ground/ 10-11:30 help where needed</t>
        </is>
      </c>
      <c r="G11" s="48" t="n">
        <v>4</v>
      </c>
      <c r="H11" s="45" t="n"/>
      <c r="I11" s="48" t="n"/>
      <c r="J11" s="82" t="inlineStr">
        <is>
          <t>7:30a-12:30p ground</t>
        </is>
      </c>
      <c r="K11" s="18" t="n">
        <v>5</v>
      </c>
      <c r="L11" s="45" t="inlineStr">
        <is>
          <t>7:30a-4:30p Ground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260" t="n"/>
      <c r="U11" s="121" t="inlineStr">
        <is>
          <t>CC PM -7pm</t>
        </is>
      </c>
    </row>
    <row r="12" ht="32" customHeight="1">
      <c r="A12" s="163" t="inlineStr">
        <is>
          <t>Kavya</t>
        </is>
      </c>
      <c r="B12" s="56" t="inlineStr">
        <is>
          <t>CC 7:45a-3:45p f6 B@1</t>
        </is>
      </c>
      <c r="C12" s="48" t="n">
        <v>7.5</v>
      </c>
      <c r="D12" s="56" t="inlineStr">
        <is>
          <t>CC 8a-11:30a f6 B@11:30/12-4p f6</t>
        </is>
      </c>
      <c r="E12" s="48" t="n">
        <v>7.5</v>
      </c>
      <c r="F12" s="257" t="inlineStr">
        <is>
          <t>7:45a-4:15p f6 CC B@12p</t>
        </is>
      </c>
      <c r="G12" s="48" t="n">
        <v>8</v>
      </c>
      <c r="H12" s="133" t="inlineStr">
        <is>
          <t>7:45a-11:45a f2 CC</t>
        </is>
      </c>
      <c r="I12" s="48" t="n">
        <v>4</v>
      </c>
      <c r="J12" s="227" t="n"/>
      <c r="K12" s="48" t="n"/>
      <c r="L12" s="38" t="n"/>
      <c r="M12" s="47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AM 7:30am</t>
        </is>
      </c>
    </row>
    <row r="13" ht="56.25" customHeight="1">
      <c r="A13" s="163" t="inlineStr">
        <is>
          <t>Pablo</t>
        </is>
      </c>
      <c r="B13" s="33" t="inlineStr">
        <is>
          <t>12:30p-4p set-up/give breaks/ 4:30-6Gr / 6-7:30p closing</t>
        </is>
      </c>
      <c r="C13" s="48" t="n">
        <v>6.5</v>
      </c>
      <c r="D13" s="45" t="inlineStr">
        <is>
          <t>12:30p-3p set-up/give breaks/ 3-6 ground/ 6-7:30p closing</t>
        </is>
      </c>
      <c r="E13" s="48" t="n">
        <v>6.5</v>
      </c>
      <c r="F13" s="45" t="inlineStr">
        <is>
          <t>12:30p-3p set-up/give breaks/ 3-6 ground/ 6-7:30p closing</t>
        </is>
      </c>
      <c r="G13" s="48" t="n">
        <v>6.5</v>
      </c>
      <c r="H13" s="129" t="inlineStr">
        <is>
          <t>4-6 f2/ 6-7:30 closing</t>
        </is>
      </c>
      <c r="I13" s="48" t="n">
        <v>3.5</v>
      </c>
      <c r="J13" s="18" t="n"/>
      <c r="K13" s="48" t="n"/>
      <c r="L13" s="45" t="inlineStr">
        <is>
          <t>12:30p-4p set-up/give breaks/ 430-6 Gr/  6-7:30p closing</t>
        </is>
      </c>
      <c r="M13" s="48" t="n">
        <v>6.5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inlineStr">
        <is>
          <t>OPD MID/ BRKS</t>
        </is>
      </c>
    </row>
    <row r="14" ht="41.5" customHeight="1">
      <c r="A14" s="128" t="inlineStr">
        <is>
          <t>Taran</t>
        </is>
      </c>
      <c r="B14" s="38" t="n"/>
      <c r="C14" s="48" t="n"/>
      <c r="D14" s="153" t="inlineStr">
        <is>
          <t>8a-3p f2</t>
        </is>
      </c>
      <c r="E14" s="48" t="n">
        <v>6.5</v>
      </c>
      <c r="F14" s="48" t="inlineStr">
        <is>
          <t>8a-4p f2</t>
        </is>
      </c>
      <c r="G14" s="48" t="n">
        <v>7.5</v>
      </c>
      <c r="H14" s="48" t="inlineStr">
        <is>
          <t>8a-3p f2</t>
        </is>
      </c>
      <c r="I14" s="48" t="n">
        <v>6.5</v>
      </c>
      <c r="J14" s="30" t="inlineStr">
        <is>
          <t>1p-7p f2</t>
        </is>
      </c>
      <c r="K14" s="48" t="n">
        <v>5.5</v>
      </c>
      <c r="L14" s="3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inlineStr">
        <is>
          <t>OPS PM - finish 7:30/8</t>
        </is>
      </c>
    </row>
    <row r="15" ht="48" customHeight="1">
      <c r="A15" s="128" t="inlineStr">
        <is>
          <t xml:space="preserve">Sagar </t>
        </is>
      </c>
      <c r="B15" s="48" t="inlineStr">
        <is>
          <t>2p-7p f2</t>
        </is>
      </c>
      <c r="C15" s="48" t="n">
        <v>5</v>
      </c>
      <c r="D15" s="38" t="n"/>
      <c r="E15" s="48" t="n"/>
      <c r="F15" s="48" t="inlineStr">
        <is>
          <t>8:30a-5p f6</t>
        </is>
      </c>
      <c r="G15" s="48" t="n">
        <v>8</v>
      </c>
      <c r="H15" s="48" t="inlineStr">
        <is>
          <t>8a-6p f6</t>
        </is>
      </c>
      <c r="I15" s="48" t="n">
        <v>9.5</v>
      </c>
      <c r="J15" s="45" t="inlineStr">
        <is>
          <t>10a- 12:30p where needed/ 12:30-6 ground 6-7:30p closing</t>
        </is>
      </c>
      <c r="K15" s="48" t="n">
        <v>9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128" t="inlineStr">
        <is>
          <t xml:space="preserve">Marina </t>
        </is>
      </c>
      <c r="B16" s="38" t="n"/>
      <c r="C16" s="48" t="n"/>
      <c r="D16" s="81" t="inlineStr">
        <is>
          <t>10a-3p ground</t>
        </is>
      </c>
      <c r="E16" s="48" t="n">
        <v>5</v>
      </c>
      <c r="F16" s="81" t="inlineStr">
        <is>
          <t>Sick</t>
        </is>
      </c>
      <c r="G16" s="48" t="n"/>
      <c r="H16" s="81" t="inlineStr">
        <is>
          <t>Sick</t>
        </is>
      </c>
      <c r="I16" s="48" t="n"/>
      <c r="J16" s="81" t="inlineStr">
        <is>
          <t>Sick</t>
        </is>
      </c>
      <c r="K16" s="48" t="n"/>
      <c r="L16" s="45" t="inlineStr">
        <is>
          <t>7:30a-8a Ground/ 8-12:30p f2</t>
        </is>
      </c>
      <c r="M16" s="48" t="n">
        <v>5</v>
      </c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32" customHeight="1">
      <c r="A17" s="45" t="inlineStr">
        <is>
          <t>Intern Sara Karimi wk2</t>
        </is>
      </c>
      <c r="B17" s="82" t="inlineStr">
        <is>
          <t>12:30p-7:30pm w Pablo</t>
        </is>
      </c>
      <c r="C17" s="18" t="n">
        <v>6.5</v>
      </c>
      <c r="D17" s="82" t="n"/>
      <c r="E17" s="18" t="n"/>
      <c r="F17" s="82" t="inlineStr">
        <is>
          <t>12:30p-7:30pm w Pablo</t>
        </is>
      </c>
      <c r="G17" s="18" t="n">
        <v>6.5</v>
      </c>
      <c r="H17" s="85" t="inlineStr">
        <is>
          <t>11:30a-4p tbd set-up</t>
        </is>
      </c>
      <c r="I17" s="18" t="n">
        <v>4.5</v>
      </c>
      <c r="J17" s="82" t="n"/>
      <c r="K17" s="18" t="n"/>
      <c r="L17" s="268" t="n"/>
      <c r="M17" s="1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63.75" customHeight="1">
      <c r="A18" s="45" t="inlineStr">
        <is>
          <t>Intern Mickaela G wk2</t>
        </is>
      </c>
      <c r="B18" s="82" t="n"/>
      <c r="C18" s="18" t="n"/>
      <c r="D18" s="82" t="inlineStr">
        <is>
          <t>12:30p-7:30pm w Pablo</t>
        </is>
      </c>
      <c r="E18" s="18" t="n">
        <v>6.5</v>
      </c>
      <c r="F18" s="85" t="n"/>
      <c r="G18" s="18" t="n"/>
      <c r="H18" s="269" t="inlineStr">
        <is>
          <t>7:45a-11:45a w Daria f6</t>
        </is>
      </c>
      <c r="I18" s="18" t="n">
        <v>4</v>
      </c>
      <c r="J18" s="274" t="inlineStr">
        <is>
          <t>9:30a-10a f6 w Chinni/ 10a-2:30p f2 w Anastasia</t>
        </is>
      </c>
      <c r="K18" s="18" t="n">
        <v>5</v>
      </c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SUM(C9:C16)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6" customHeight="1" thickBot="1">
      <c r="A22" s="264" t="inlineStr">
        <is>
          <t>Shifts  Will Vary based on class schedule, business demand, Availability &amp; RO's</t>
        </is>
      </c>
      <c r="B22" s="264" t="n"/>
      <c r="C22" s="439" t="n"/>
      <c r="D22" s="121" t="n"/>
      <c r="Q22">
        <f>P19*20</f>
        <v/>
      </c>
    </row>
    <row r="23" ht="20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20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  <c r="T27" t="inlineStr">
        <is>
          <t xml:space="preserve"> </t>
        </is>
      </c>
    </row>
    <row r="28" ht="19" customHeight="1">
      <c r="A28" s="150" t="inlineStr">
        <is>
          <t>12-3p</t>
        </is>
      </c>
      <c r="D28" s="442" t="inlineStr">
        <is>
          <t>first 30 hours Intro w elevator + support open/CL</t>
        </is>
      </c>
      <c r="J28" s="443" t="n"/>
    </row>
    <row r="29" ht="19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9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6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P7" sqref="P7"/>
    </sheetView>
  </sheetViews>
  <sheetFormatPr baseColWidth="10" defaultColWidth="8.83203125" defaultRowHeight="15"/>
  <cols>
    <col width="26.5" customWidth="1" min="1" max="1"/>
    <col width="19.5" customWidth="1" min="2" max="2"/>
    <col width="7.33203125" bestFit="1" customWidth="1" min="3" max="3"/>
    <col width="20" customWidth="1" min="4" max="4"/>
    <col width="7.33203125" bestFit="1" customWidth="1" min="5" max="5"/>
    <col width="20" bestFit="1" customWidth="1" min="6" max="6"/>
    <col width="6.33203125" customWidth="1" min="7" max="7"/>
    <col width="20.83203125" bestFit="1" customWidth="1" min="8" max="8"/>
    <col width="6.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9.33203125" bestFit="1" customWidth="1" min="14" max="14"/>
    <col width="4" customWidth="1" min="15" max="15"/>
    <col width="7.1640625" customWidth="1" min="16" max="16"/>
    <col width="19.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45669</v>
      </c>
      <c r="C2" s="6" t="n"/>
      <c r="D2" s="5" t="n">
        <v>45670</v>
      </c>
      <c r="E2" s="6" t="n"/>
      <c r="F2" s="5" t="n">
        <v>45671</v>
      </c>
      <c r="G2" s="6" t="n"/>
      <c r="H2" s="5" t="n">
        <v>45672</v>
      </c>
      <c r="I2" s="6" t="n"/>
      <c r="J2" s="5" t="n">
        <v>45673</v>
      </c>
      <c r="K2" s="6" t="n"/>
      <c r="L2" s="5" t="n">
        <v>45674</v>
      </c>
      <c r="M2" s="6" t="n"/>
      <c r="N2" s="5" t="n">
        <v>45675</v>
      </c>
      <c r="O2" s="7" t="n"/>
      <c r="P2" s="3" t="n"/>
    </row>
    <row r="3" ht="79.5" customHeight="1">
      <c r="A3" s="8" t="inlineStr">
        <is>
          <t>EVENTS</t>
        </is>
      </c>
      <c r="B3" s="9" t="inlineStr">
        <is>
          <t>FINISH ALL set-up/ CC +VEGA TRAINING 2-3p/ Adonis 8a-12 Vega/ 1-4 IBU</t>
        </is>
      </c>
      <c r="C3" s="10" t="n"/>
      <c r="D3" s="62" t="inlineStr">
        <is>
          <t>TEAM Lunch 1p-3pm + cake</t>
        </is>
      </c>
      <c r="E3" s="10" t="n"/>
      <c r="F3" s="9" t="inlineStr">
        <is>
          <t>Meeting 6 A - SALLY (9TO12)</t>
        </is>
      </c>
      <c r="G3" s="11" t="n"/>
      <c r="H3" s="92" t="n"/>
      <c r="I3" s="10" t="n"/>
      <c r="J3" s="270" t="inlineStr">
        <is>
          <t>Adonis help w President's office /Meeting Recruit. Gr. A/2 to 4 (5 ppl)</t>
        </is>
      </c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sick day</t>
        </is>
      </c>
      <c r="C4" s="18" t="n">
        <v>8</v>
      </c>
      <c r="D4" s="19" t="inlineStr">
        <is>
          <t>9a-8:30p</t>
        </is>
      </c>
      <c r="E4" s="18" t="n">
        <v>11.5</v>
      </c>
      <c r="F4" s="19" t="inlineStr">
        <is>
          <t>9:30-9pm + 1hr wfh</t>
        </is>
      </c>
      <c r="G4" s="18" t="n">
        <v>12.5</v>
      </c>
      <c r="H4" s="19" t="inlineStr">
        <is>
          <t>5:30a-8:30</t>
        </is>
      </c>
      <c r="I4" s="18" t="n">
        <v>15</v>
      </c>
      <c r="J4" s="19" t="inlineStr">
        <is>
          <t>OFF</t>
        </is>
      </c>
      <c r="K4" s="18" t="n"/>
      <c r="L4" s="271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 (TR 2-3p)</t>
        </is>
      </c>
      <c r="C5" s="48" t="n">
        <v>8</v>
      </c>
      <c r="D5" s="26" t="inlineStr">
        <is>
          <t>9a-6</t>
        </is>
      </c>
      <c r="E5" s="48" t="n">
        <v>9</v>
      </c>
      <c r="F5" s="26" t="inlineStr">
        <is>
          <t>9a-5</t>
        </is>
      </c>
      <c r="G5" s="48" t="n">
        <v>8</v>
      </c>
      <c r="H5" s="26" t="inlineStr">
        <is>
          <t>wfh</t>
        </is>
      </c>
      <c r="I5" s="48" t="n">
        <v>8</v>
      </c>
      <c r="J5" s="26" t="inlineStr">
        <is>
          <t>9a-4</t>
        </is>
      </c>
      <c r="K5" s="48" t="n">
        <v>7</v>
      </c>
      <c r="L5" s="24" t="inlineStr">
        <is>
          <t>OFF</t>
        </is>
      </c>
      <c r="M5" s="51" t="n"/>
      <c r="N5" s="24" t="n"/>
      <c r="O5" s="18" t="n"/>
      <c r="P5" s="3">
        <f>SUM(O5,M5,K5,I5,G5,E5,C5)</f>
        <v/>
      </c>
    </row>
    <row r="6" ht="16" customHeight="1">
      <c r="A6" s="128" t="inlineStr">
        <is>
          <t>Osmaro last day</t>
        </is>
      </c>
      <c r="B6" s="45" t="inlineStr">
        <is>
          <t>8a-4p f2 B@12</t>
        </is>
      </c>
      <c r="C6" s="48" t="n">
        <v>7.5</v>
      </c>
      <c r="D6" s="265" t="n"/>
      <c r="E6" s="48" t="n"/>
      <c r="F6" s="265" t="n"/>
      <c r="G6" s="48" t="n"/>
      <c r="H6" s="265" t="n"/>
      <c r="I6" s="48" t="n"/>
      <c r="J6" s="265" t="n"/>
      <c r="K6" s="48" t="n"/>
      <c r="L6" s="38" t="n"/>
      <c r="M6" s="51" t="n"/>
      <c r="N6" s="38" t="n"/>
      <c r="O6" s="18" t="n"/>
      <c r="P6" s="3" t="n">
        <v>7.5</v>
      </c>
    </row>
    <row r="7" ht="65.5" customHeight="1">
      <c r="A7" s="163" t="inlineStr">
        <is>
          <t>Daria C</t>
        </is>
      </c>
      <c r="B7" s="45" t="inlineStr">
        <is>
          <t>7:45a-1:30Pf6/ B@1:30 / TR 2-3:15</t>
        </is>
      </c>
      <c r="C7" s="48" t="n">
        <v>7</v>
      </c>
      <c r="D7" s="45" t="inlineStr">
        <is>
          <t>8a-2p f6/2-5w fran</t>
        </is>
      </c>
      <c r="E7" s="48" t="n">
        <v>8.5</v>
      </c>
      <c r="F7" s="45" t="inlineStr">
        <is>
          <t>9a-5p f6</t>
        </is>
      </c>
      <c r="G7" s="48" t="n">
        <v>7.5</v>
      </c>
      <c r="H7" s="155" t="inlineStr">
        <is>
          <t>7:30a- 8 G/ 8a-12p f2/ 3-4:30p ground</t>
        </is>
      </c>
      <c r="I7" s="48" t="n">
        <v>6</v>
      </c>
      <c r="J7" s="45" t="inlineStr">
        <is>
          <t>7:30a- 10a G/ 10a-11:30 set-up/ B@11:30/ 12-1 f6/ 1-1:30f2</t>
        </is>
      </c>
      <c r="K7" s="48" t="n">
        <v>5.5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63" t="inlineStr">
        <is>
          <t>Pablo</t>
        </is>
      </c>
      <c r="B8" s="33" t="inlineStr">
        <is>
          <t xml:space="preserve"> 1-2 set-up/ 2-3 TR/ 3-5 set-up/ 5-6 Gr/ 6-8 close B@6</t>
        </is>
      </c>
      <c r="C8" s="48" t="n">
        <v>6.5</v>
      </c>
      <c r="D8" s="45" t="inlineStr">
        <is>
          <t>11a-1pm set-up/3-6 ground/ 6-7:30 closer</t>
        </is>
      </c>
      <c r="E8" s="48" t="n">
        <v>8</v>
      </c>
      <c r="F8" s="45" t="inlineStr">
        <is>
          <t>12p-12:30 G/ 12:30-1 f6 / 1-1:30 f2/ 1:30-3 set-up/ B@3/ 3:30-6G/ 6-7:30 close</t>
        </is>
      </c>
      <c r="G8" s="48" t="n">
        <v>7</v>
      </c>
      <c r="H8" s="129" t="n"/>
      <c r="I8" s="48" t="n"/>
      <c r="J8" s="18" t="inlineStr">
        <is>
          <t>12p-3p where needed/ 3p-6p G/ 6-7:30 closer</t>
        </is>
      </c>
      <c r="K8" s="48" t="n">
        <v>7</v>
      </c>
      <c r="L8" s="45" t="inlineStr">
        <is>
          <t>7:30a-8a Ground/ 8a-5:30 f2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2" customHeight="1">
      <c r="A9" s="163" t="inlineStr">
        <is>
          <t>Kavya</t>
        </is>
      </c>
      <c r="B9" s="56" t="inlineStr">
        <is>
          <t xml:space="preserve">CC 7:45a-1:30p f2/ B@1:30 / TR 2-3:15p/ </t>
        </is>
      </c>
      <c r="C9" s="48" t="n">
        <v>7</v>
      </c>
      <c r="D9" s="56" t="inlineStr">
        <is>
          <t>CC 7:45a- 2p f6 / 2-3:45 team Lunch</t>
        </is>
      </c>
      <c r="E9" s="48" t="n">
        <v>7.5</v>
      </c>
      <c r="F9" s="261" t="inlineStr">
        <is>
          <t>CC f6 7:45a-4:15p</t>
        </is>
      </c>
      <c r="G9" s="48" t="n">
        <v>8.5</v>
      </c>
      <c r="H9" s="261" t="inlineStr">
        <is>
          <t>CC f6 7:45a-11:45a f6 WFH</t>
        </is>
      </c>
      <c r="I9" s="48" t="n">
        <v>4</v>
      </c>
      <c r="J9" s="227" t="inlineStr">
        <is>
          <t>CC f6 7:45a-2:15p B@12</t>
        </is>
      </c>
      <c r="K9" s="48" t="n">
        <v>6</v>
      </c>
      <c r="L9" s="38" t="n"/>
      <c r="M9" s="47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8" customHeight="1">
      <c r="A10" s="163" t="inlineStr">
        <is>
          <t>Chinnesha C</t>
        </is>
      </c>
      <c r="B10" s="56" t="inlineStr">
        <is>
          <t>2p-3p Training/ 3-7p CC f6</t>
        </is>
      </c>
      <c r="C10" s="48" t="n">
        <v>5</v>
      </c>
      <c r="D10" s="262" t="inlineStr">
        <is>
          <t>CCf2 8a-11 no brk</t>
        </is>
      </c>
      <c r="E10" s="48" t="n">
        <v>3</v>
      </c>
      <c r="F10" s="227" t="inlineStr">
        <is>
          <t>CC f2 9:30a-4:30p/ f2 4:30-6:30p</t>
        </is>
      </c>
      <c r="G10" s="48" t="n">
        <v>9.5</v>
      </c>
      <c r="H10" s="60" t="n"/>
      <c r="I10" s="48" t="n"/>
      <c r="J10" s="56" t="inlineStr">
        <is>
          <t>CC f6 8a-6p B@12:30</t>
        </is>
      </c>
      <c r="K10" s="18" t="n">
        <v>9.5</v>
      </c>
      <c r="L10" s="227" t="inlineStr">
        <is>
          <t>CCf6 7:45a-11/ B@11/ 11:30-4:45p f6</t>
        </is>
      </c>
      <c r="M10" s="48" t="n">
        <v>8.5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2" customHeight="1">
      <c r="A11" s="128" t="inlineStr">
        <is>
          <t>Taran</t>
        </is>
      </c>
      <c r="B11" s="153" t="inlineStr">
        <is>
          <t>Call out</t>
        </is>
      </c>
      <c r="C11" s="48" t="n"/>
      <c r="D11" s="153" t="inlineStr">
        <is>
          <t>8a-11a f2/ 11-3p give breaks  B@1</t>
        </is>
      </c>
      <c r="E11" s="48" t="n">
        <v>6.5</v>
      </c>
      <c r="F11" s="48" t="inlineStr">
        <is>
          <t>8a-6p f2 B@1/</t>
        </is>
      </c>
      <c r="G11" s="48" t="n">
        <v>9.5</v>
      </c>
      <c r="H11" s="48" t="inlineStr">
        <is>
          <t>Snow Day</t>
        </is>
      </c>
      <c r="I11" s="48" t="n"/>
      <c r="J11" s="30" t="inlineStr">
        <is>
          <t>11:30a-6p where needed</t>
        </is>
      </c>
      <c r="K11" s="48" t="n">
        <v>6</v>
      </c>
      <c r="L11" s="4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32" customHeight="1">
      <c r="A12" s="128" t="inlineStr">
        <is>
          <t xml:space="preserve">Marina </t>
        </is>
      </c>
      <c r="B12" s="38" t="n"/>
      <c r="C12" s="48" t="n"/>
      <c r="D12" s="81" t="inlineStr">
        <is>
          <t>12pm-3pm ground</t>
        </is>
      </c>
      <c r="E12" s="48" t="n"/>
      <c r="F12" s="48" t="inlineStr">
        <is>
          <t>10a-3pm f2 desk</t>
        </is>
      </c>
      <c r="G12" s="48" t="n">
        <v>5</v>
      </c>
      <c r="H12" s="81" t="inlineStr">
        <is>
          <t>Snow Day</t>
        </is>
      </c>
      <c r="I12" s="48" t="n"/>
      <c r="J12" s="81" t="inlineStr">
        <is>
          <t>ro</t>
        </is>
      </c>
      <c r="K12" s="48" t="n"/>
      <c r="L12" s="45" t="inlineStr">
        <is>
          <t>7:30a- 5p ground B@11a</t>
        </is>
      </c>
      <c r="M12" s="48" t="n">
        <v>9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2" customHeight="1">
      <c r="A13" s="163" t="inlineStr">
        <is>
          <t>Viviana B</t>
        </is>
      </c>
      <c r="B13" s="56" t="inlineStr">
        <is>
          <t>2p-3p Training/ 3-7p CC f2</t>
        </is>
      </c>
      <c r="C13" s="48" t="n">
        <v>5</v>
      </c>
      <c r="D13" s="56" t="inlineStr">
        <is>
          <t>CC f6 2p-7p no brk</t>
        </is>
      </c>
      <c r="E13" s="48" t="n">
        <v>5</v>
      </c>
      <c r="F13" s="56" t="inlineStr">
        <is>
          <t>CC f6 11a-7p</t>
        </is>
      </c>
      <c r="G13" s="48" t="n">
        <v>7.5</v>
      </c>
      <c r="H13" s="56" t="inlineStr">
        <is>
          <t>CC 2p-7p WFH</t>
        </is>
      </c>
      <c r="I13" s="48" t="n">
        <v>5</v>
      </c>
      <c r="J13" s="56" t="inlineStr">
        <is>
          <t>CC f6 2p-7p no brk</t>
        </is>
      </c>
      <c r="K13" s="48" t="n">
        <v>5</v>
      </c>
      <c r="L13" s="56" t="inlineStr">
        <is>
          <t>CC f2 11a-7p B@4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3" customHeight="1">
      <c r="A14" s="163" t="inlineStr">
        <is>
          <t>Iqra B</t>
        </is>
      </c>
      <c r="B14" s="266" t="inlineStr">
        <is>
          <t>8a-1p TR w Osmaro/ B@1p/ TR 2-3p /</t>
        </is>
      </c>
      <c r="C14" s="48" t="n">
        <v>6.5</v>
      </c>
      <c r="D14" s="56" t="inlineStr">
        <is>
          <t>CC f2 11a-7p B@2</t>
        </is>
      </c>
      <c r="E14" s="48" t="n">
        <v>7.5</v>
      </c>
      <c r="F14" s="56" t="inlineStr">
        <is>
          <t>CC wfh 8a-4p</t>
        </is>
      </c>
      <c r="G14" s="48" t="n">
        <v>7.5</v>
      </c>
      <c r="H14" s="56" t="inlineStr">
        <is>
          <t>CC 11a-7p WFH</t>
        </is>
      </c>
      <c r="I14" s="48" t="n">
        <v>7.5</v>
      </c>
      <c r="J14" s="56" t="inlineStr">
        <is>
          <t>CC f2 9a-5p</t>
        </is>
      </c>
      <c r="K14" s="48" t="n">
        <v>7.5</v>
      </c>
      <c r="L14" s="56" t="inlineStr">
        <is>
          <t>CC f6 11a-7p  B@2</t>
        </is>
      </c>
      <c r="M14" s="1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80" customHeight="1">
      <c r="A15" s="128" t="inlineStr">
        <is>
          <t xml:space="preserve">Sagar </t>
        </is>
      </c>
      <c r="B15" s="48" t="inlineStr">
        <is>
          <t>12p-7p set-up/ 7-8 closing w pablo</t>
        </is>
      </c>
      <c r="C15" s="48" t="n">
        <v>7.5</v>
      </c>
      <c r="D15" s="38" t="n"/>
      <c r="E15" s="48" t="n"/>
      <c r="F15" s="48" t="inlineStr">
        <is>
          <t>TR w Taran 8a-6p f2 desk</t>
        </is>
      </c>
      <c r="G15" s="48" t="n">
        <v>9.5</v>
      </c>
      <c r="H15" s="48" t="inlineStr">
        <is>
          <t>Snow Day</t>
        </is>
      </c>
      <c r="I15" s="48" t="n"/>
      <c r="J15" s="48" t="inlineStr">
        <is>
          <t>10a-3pm ground/ elev no brk</t>
        </is>
      </c>
      <c r="K15" s="48" t="n">
        <v>5</v>
      </c>
      <c r="L15" s="48" t="inlineStr">
        <is>
          <t>11a-11:30 G / 11:30-4:30p TR w Pablo/ B@4:30 /  5-6G/ 6-7:30 closer</t>
        </is>
      </c>
      <c r="M15" s="48" t="n">
        <v>8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32" customHeight="1">
      <c r="A16" s="45" t="inlineStr">
        <is>
          <t>Anastasia B</t>
        </is>
      </c>
      <c r="B16" s="82" t="inlineStr">
        <is>
          <t>8a-1p TRw Daria/ B@1 / TR 2-3</t>
        </is>
      </c>
      <c r="C16" s="18" t="n">
        <v>6.5</v>
      </c>
      <c r="D16" s="82" t="inlineStr">
        <is>
          <t>8a-3:30 w Daria TR + SS support</t>
        </is>
      </c>
      <c r="E16" s="18" t="n">
        <v>7</v>
      </c>
      <c r="F16" s="85" t="inlineStr">
        <is>
          <t>8a-5p f6 B@12:30</t>
        </is>
      </c>
      <c r="G16" s="18" t="n">
        <v>8.5</v>
      </c>
      <c r="H16" s="56" t="inlineStr">
        <is>
          <t>CC f6 8a-5p B@1</t>
        </is>
      </c>
      <c r="I16" s="18" t="n">
        <v>8.5</v>
      </c>
      <c r="J16" s="85" t="inlineStr">
        <is>
          <t>8a-5p f2 B@1</t>
        </is>
      </c>
      <c r="K16" s="18" t="n">
        <v>8.5</v>
      </c>
      <c r="L16" s="56" t="n"/>
      <c r="M16" s="51" t="n"/>
      <c r="N16" s="18" t="inlineStr">
        <is>
          <t>OFF</t>
        </is>
      </c>
      <c r="O16" s="18" t="n"/>
      <c r="P16" s="3">
        <f>SUM(O16,M16,K16,I16,G16,E16,C16)</f>
        <v/>
      </c>
    </row>
    <row r="17" ht="32" customHeight="1">
      <c r="A17" s="45" t="inlineStr">
        <is>
          <t>Karan C</t>
        </is>
      </c>
      <c r="B17" s="82" t="inlineStr">
        <is>
          <t>CC 8a-4p f6 B@12p</t>
        </is>
      </c>
      <c r="C17" s="18" t="n">
        <v>7.5</v>
      </c>
      <c r="D17" s="45" t="inlineStr">
        <is>
          <t>1p-6  f6</t>
        </is>
      </c>
      <c r="E17" s="18" t="n">
        <v>5</v>
      </c>
      <c r="F17" s="85" t="inlineStr">
        <is>
          <t>10a-5p f2 elev + lines at SS</t>
        </is>
      </c>
      <c r="G17" s="18" t="n">
        <v>6.5</v>
      </c>
      <c r="H17" s="85" t="inlineStr">
        <is>
          <t>8a-11a ground/ B@11/ 11:30-4p f2</t>
        </is>
      </c>
      <c r="I17" s="18" t="n">
        <v>7.5</v>
      </c>
      <c r="J17" s="263" t="inlineStr">
        <is>
          <t>Request OFF</t>
        </is>
      </c>
      <c r="K17" s="18" t="n"/>
      <c r="L17" s="85" t="n"/>
      <c r="M17" s="18" t="n"/>
      <c r="N17" s="18" t="inlineStr">
        <is>
          <t>OFF</t>
        </is>
      </c>
      <c r="O17" s="18" t="n"/>
      <c r="P17" s="3">
        <f>SUM(O17,M17,K17,I17,G17,E17,C17)</f>
        <v/>
      </c>
    </row>
    <row r="18" ht="32" customHeight="1">
      <c r="A18" s="45" t="inlineStr">
        <is>
          <t>Francisco C</t>
        </is>
      </c>
      <c r="B18" s="45" t="inlineStr">
        <is>
          <t>7:30a-5p ground B@12:30</t>
        </is>
      </c>
      <c r="C18" s="48" t="n">
        <v>9</v>
      </c>
      <c r="D18" s="48" t="inlineStr">
        <is>
          <t>7:30pm-12p ground/ 12-3:30 f6</t>
        </is>
      </c>
      <c r="E18" s="48" t="n">
        <v>7.5</v>
      </c>
      <c r="F18" s="45" t="inlineStr">
        <is>
          <t>7:30a- 3:30p ground B@12</t>
        </is>
      </c>
      <c r="G18" s="48" t="n">
        <v>7.5</v>
      </c>
      <c r="H18" s="85" t="n"/>
      <c r="I18" s="18" t="n"/>
      <c r="J18" s="141" t="n"/>
      <c r="K18" s="18" t="n"/>
      <c r="L18" s="85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46.5" customHeight="1">
      <c r="A19" s="45" t="inlineStr">
        <is>
          <t>Intern Sara Karimi</t>
        </is>
      </c>
      <c r="B19" s="82" t="n"/>
      <c r="C19" s="18" t="n"/>
      <c r="D19" s="82" t="n"/>
      <c r="E19" s="18" t="n"/>
      <c r="F19" s="85" t="inlineStr">
        <is>
          <t>TR 12p-1p w Aashima/ 1-7:30p w Pablo</t>
        </is>
      </c>
      <c r="G19" s="18" t="n">
        <v>7</v>
      </c>
      <c r="H19" s="85" t="inlineStr">
        <is>
          <t>Snow Day</t>
        </is>
      </c>
      <c r="I19" s="18" t="n"/>
      <c r="J19" s="82" t="inlineStr">
        <is>
          <t>1p-2p wAdonis/ 3p-7:30p w Pablo</t>
        </is>
      </c>
      <c r="K19" s="18" t="n">
        <v>6</v>
      </c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</row>
    <row r="20" ht="16" customHeight="1">
      <c r="A20" s="45" t="inlineStr">
        <is>
          <t>Intern Mickaela G</t>
        </is>
      </c>
      <c r="B20" s="82" t="inlineStr">
        <is>
          <t>tbd</t>
        </is>
      </c>
      <c r="C20" s="18" t="n"/>
      <c r="D20" s="82" t="inlineStr">
        <is>
          <t>TR 11-7:30 w Pablo</t>
        </is>
      </c>
      <c r="E20" s="18" t="n">
        <v>8</v>
      </c>
      <c r="F20" s="85" t="inlineStr">
        <is>
          <t>10a-3pm TR w Taran f2</t>
        </is>
      </c>
      <c r="G20" s="18" t="n">
        <v>5</v>
      </c>
      <c r="H20" s="85" t="inlineStr">
        <is>
          <t>Snow Day</t>
        </is>
      </c>
      <c r="I20" s="18" t="n"/>
      <c r="J20" s="82" t="inlineStr">
        <is>
          <t>9a-3pm f2 TR</t>
        </is>
      </c>
      <c r="K20" s="18" t="n">
        <v>5.5</v>
      </c>
      <c r="L20" s="268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 ht="16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T27" t="inlineStr">
        <is>
          <t xml:space="preserve"> 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D6" sqref="D6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" bestFit="1" customWidth="1" min="6" max="6"/>
    <col width="5.5" bestFit="1" customWidth="1" min="7" max="7"/>
    <col width="20.83203125" bestFit="1" customWidth="1" min="8" max="8"/>
    <col width="6.5" bestFit="1" customWidth="1" min="9" max="9"/>
    <col width="21" bestFit="1" customWidth="1" min="10" max="10"/>
    <col width="7.33203125" bestFit="1" customWidth="1" min="11" max="11"/>
    <col width="14.5" bestFit="1" customWidth="1" min="12" max="12"/>
    <col width="4.6640625" bestFit="1" customWidth="1" min="13" max="13"/>
    <col width="8.83203125" bestFit="1" customWidth="1" min="14" max="14"/>
    <col width="4" customWidth="1" min="15" max="15"/>
    <col width="11.33203125" bestFit="1" customWidth="1" min="16" max="16"/>
    <col width="17.832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45662</v>
      </c>
      <c r="C2" s="6" t="n"/>
      <c r="D2" s="5" t="n">
        <v>45663</v>
      </c>
      <c r="E2" s="6" t="n"/>
      <c r="F2" s="5" t="n">
        <v>45664</v>
      </c>
      <c r="G2" s="6" t="n"/>
      <c r="H2" s="5" t="n">
        <v>45665</v>
      </c>
      <c r="I2" s="6" t="n"/>
      <c r="J2" s="5" t="n">
        <v>45666</v>
      </c>
      <c r="K2" s="6" t="n"/>
      <c r="L2" s="5" t="n">
        <v>45667</v>
      </c>
      <c r="M2" s="6" t="n"/>
      <c r="N2" s="5" t="n">
        <v>45668</v>
      </c>
      <c r="O2" s="7" t="n"/>
      <c r="P2" s="3" t="n"/>
    </row>
    <row r="3" ht="63" customHeight="1">
      <c r="A3" s="8" t="inlineStr">
        <is>
          <t>EVENTS</t>
        </is>
      </c>
      <c r="B3" s="256" t="inlineStr">
        <is>
          <t>Reading Week     ORIENTATION     / registration F2 /FRANCO 8a-4p</t>
        </is>
      </c>
      <c r="C3" s="10" t="n"/>
      <c r="D3" s="9" t="inlineStr">
        <is>
          <t>registration 2nd floor  / FRANCO Vega 8a-9a/ 9a-3p IBU/ 3-4 Vega</t>
        </is>
      </c>
      <c r="E3" s="10" t="n"/>
      <c r="F3" s="256" t="inlineStr">
        <is>
          <t>First Day of Class</t>
        </is>
      </c>
      <c r="G3" s="11" t="n"/>
      <c r="H3" s="92" t="inlineStr">
        <is>
          <t xml:space="preserve"> 8a-4p VEGA franco</t>
        </is>
      </c>
      <c r="I3" s="10" t="n"/>
      <c r="J3" s="92" t="inlineStr">
        <is>
          <t xml:space="preserve"> 8a-4p VEGA Camila</t>
        </is>
      </c>
      <c r="K3" s="10" t="n"/>
      <c r="L3" s="9" t="n"/>
      <c r="M3" s="13" t="n"/>
      <c r="N3" s="14" t="n"/>
      <c r="O3" s="15" t="n"/>
      <c r="P3" s="3" t="n"/>
    </row>
    <row r="4" ht="28" customHeight="1">
      <c r="A4" s="16" t="inlineStr">
        <is>
          <t>Fran</t>
        </is>
      </c>
      <c r="B4" s="19" t="inlineStr">
        <is>
          <t>9a-6</t>
        </is>
      </c>
      <c r="C4" s="18" t="n">
        <v>9</v>
      </c>
      <c r="D4" s="19" t="inlineStr">
        <is>
          <t>9a-7:30p</t>
        </is>
      </c>
      <c r="E4" s="18" t="n">
        <v>10.5</v>
      </c>
      <c r="F4" s="19" t="inlineStr">
        <is>
          <t>offsite vega 10a-9p</t>
        </is>
      </c>
      <c r="G4" s="18" t="n">
        <v>11</v>
      </c>
      <c r="H4" s="19" t="inlineStr">
        <is>
          <t>10a-7a</t>
        </is>
      </c>
      <c r="I4" s="18" t="n">
        <v>9</v>
      </c>
      <c r="J4" s="19" t="inlineStr">
        <is>
          <t>9a-2 ibu/ 2-8 Lawrence?</t>
        </is>
      </c>
      <c r="K4" s="18" t="n">
        <v>11</v>
      </c>
      <c r="L4" s="94" t="inlineStr">
        <is>
          <t>6p-2a after hours signage</t>
        </is>
      </c>
      <c r="M4" s="18" t="n">
        <v>7</v>
      </c>
      <c r="N4" s="18" t="n"/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8a-5p Orientation</t>
        </is>
      </c>
      <c r="C5" s="24" t="n">
        <v>9</v>
      </c>
      <c r="D5" s="26" t="inlineStr">
        <is>
          <t>9a-6</t>
        </is>
      </c>
      <c r="E5" s="24" t="n">
        <v>9</v>
      </c>
      <c r="F5" s="26" t="inlineStr">
        <is>
          <t>8a-9p Ground/ 9-5p</t>
        </is>
      </c>
      <c r="G5" s="24" t="n">
        <v>9</v>
      </c>
      <c r="H5" s="26" t="inlineStr">
        <is>
          <t>9a-6p</t>
        </is>
      </c>
      <c r="I5" s="24" t="n">
        <v>9</v>
      </c>
      <c r="J5" s="26" t="inlineStr">
        <is>
          <t>Lieu day</t>
        </is>
      </c>
      <c r="K5" s="24" t="n">
        <v>8</v>
      </c>
      <c r="L5" s="24" t="inlineStr">
        <is>
          <t>OFF</t>
        </is>
      </c>
      <c r="M5" s="95" t="n"/>
      <c r="N5" s="24" t="n"/>
      <c r="O5" s="18" t="n"/>
      <c r="P5" s="3">
        <f>SUM(O5,M5,K5,I5,G5,E5,C5)</f>
        <v/>
      </c>
    </row>
    <row r="6" ht="64" customHeight="1">
      <c r="A6" s="128" t="inlineStr">
        <is>
          <t>Osmaro</t>
        </is>
      </c>
      <c r="B6" s="18" t="inlineStr">
        <is>
          <t>7:30a-4pm ground</t>
        </is>
      </c>
      <c r="C6" s="48" t="n">
        <v>8</v>
      </c>
      <c r="D6" s="18" t="n"/>
      <c r="E6" s="48" t="n"/>
      <c r="F6" s="18" t="inlineStr">
        <is>
          <t>7:45a-1 ground/ B@1/ 1:30-3:45p set-up</t>
        </is>
      </c>
      <c r="G6" s="48" t="n">
        <v>7</v>
      </c>
      <c r="H6" s="45" t="n"/>
      <c r="I6" s="48" t="n"/>
      <c r="J6" s="48" t="n"/>
      <c r="K6" s="48" t="n"/>
      <c r="L6" s="48" t="inlineStr">
        <is>
          <t>7:30a-8a Ground/ 8a-5p f2/ set-up see list in chat B@12:30</t>
        </is>
      </c>
      <c r="M6" s="48" t="n">
        <v>9</v>
      </c>
      <c r="N6" s="48" t="n"/>
      <c r="O6" s="18" t="n"/>
      <c r="P6" s="3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 ht="64" customHeight="1">
      <c r="A7" s="163" t="inlineStr">
        <is>
          <t>Daria C</t>
        </is>
      </c>
      <c r="B7" s="45" t="inlineStr">
        <is>
          <t>11a-8pm Set-up</t>
        </is>
      </c>
      <c r="C7" s="48" t="n">
        <v>8.5</v>
      </c>
      <c r="D7" s="165" t="inlineStr">
        <is>
          <t xml:space="preserve">7:30-7:45 ground/ 7:45a-4p f6 </t>
        </is>
      </c>
      <c r="E7" s="48" t="n">
        <v>8</v>
      </c>
      <c r="F7" s="237" t="inlineStr">
        <is>
          <t>f6 7:45a-4p</t>
        </is>
      </c>
      <c r="G7" s="48" t="n">
        <v>7.75</v>
      </c>
      <c r="H7" s="129" t="inlineStr">
        <is>
          <t>7:30am-10:30am Ground</t>
        </is>
      </c>
      <c r="I7" s="48" t="n">
        <v>3</v>
      </c>
      <c r="J7" s="45" t="inlineStr">
        <is>
          <t>7:30a-8:30a GR/ 8:30a-3p f2 B@12:30 +1hr brk/ 3p-6p gr. 6-7:30 close campus</t>
        </is>
      </c>
      <c r="K7" s="48" t="n">
        <v>11</v>
      </c>
      <c r="L7" s="48" t="n"/>
      <c r="M7" s="48" t="n"/>
      <c r="N7" s="48" t="n"/>
      <c r="O7" s="18" t="n"/>
      <c r="P7" s="3">
        <f>SUM(O7,M7,K7,I7,G7,E7,C7)</f>
        <v/>
      </c>
      <c r="T7" s="231" t="n"/>
      <c r="U7" t="inlineStr">
        <is>
          <t>CC 8am</t>
        </is>
      </c>
    </row>
    <row r="8" ht="80" customHeight="1">
      <c r="A8" s="163" t="inlineStr">
        <is>
          <t>Pablo</t>
        </is>
      </c>
      <c r="B8" s="33" t="inlineStr">
        <is>
          <t>11a-8pm Set-up/ close campus</t>
        </is>
      </c>
      <c r="C8" s="48" t="n">
        <v>8.5</v>
      </c>
      <c r="D8" s="45" t="inlineStr">
        <is>
          <t>12p-4p  set-up/ 4-8 Close</t>
        </is>
      </c>
      <c r="E8" s="48" t="n">
        <v>7.5</v>
      </c>
      <c r="F8" s="45" t="inlineStr">
        <is>
          <t>12-3 where busy/ B@3/ 3:30-6 set up/6-8 close</t>
        </is>
      </c>
      <c r="G8" s="48" t="n">
        <v>7.5</v>
      </c>
      <c r="H8" s="129" t="n"/>
      <c r="I8" s="48" t="n"/>
      <c r="J8" s="18" t="inlineStr">
        <is>
          <t>7:30a-10a ground/10a-4p f6 B@1</t>
        </is>
      </c>
      <c r="K8" s="48" t="n">
        <v>8</v>
      </c>
      <c r="L8" s="45" t="inlineStr">
        <is>
          <t>12-12:30 ground/ 12:30-5 set-up/ 5-6 ground/ 6-8 close campus</t>
        </is>
      </c>
      <c r="M8" s="48" t="n">
        <v>7.5</v>
      </c>
      <c r="N8" s="48" t="n"/>
      <c r="O8" s="18" t="n"/>
      <c r="P8" s="3">
        <f>SUM(O8,M8,K8,I8,G8,E8,C8)</f>
        <v/>
      </c>
      <c r="T8" s="231" t="n"/>
      <c r="U8" t="inlineStr">
        <is>
          <t>CC PM -7pm</t>
        </is>
      </c>
    </row>
    <row r="9" ht="64" customHeight="1">
      <c r="A9" s="163" t="inlineStr">
        <is>
          <t>Kavya</t>
        </is>
      </c>
      <c r="B9" s="56" t="inlineStr">
        <is>
          <t>CC f2 8a-2p/B@2 2-4 help w set-up</t>
        </is>
      </c>
      <c r="C9" s="48" t="n">
        <v>7.5</v>
      </c>
      <c r="D9" s="165" t="inlineStr">
        <is>
          <t xml:space="preserve">CC 7:45a-3:45p f2 </t>
        </is>
      </c>
      <c r="E9" s="48" t="n">
        <v>7.5</v>
      </c>
      <c r="F9" s="257" t="inlineStr">
        <is>
          <t>CC 7:45a-11a f6</t>
        </is>
      </c>
      <c r="G9" s="48" t="n">
        <v>4</v>
      </c>
      <c r="H9" s="257" t="inlineStr">
        <is>
          <t xml:space="preserve">CC 7:45a-11:15/ elev 11:15-12:15/ B@12:15/  12p-3 ops support/ 3-3:45 elv f2 </t>
        </is>
      </c>
      <c r="I9" s="48" t="n">
        <v>7.5</v>
      </c>
      <c r="J9" s="60" t="inlineStr">
        <is>
          <t>CC 11a - 7p f2 B@2:30p</t>
        </is>
      </c>
      <c r="K9" s="48" t="n">
        <v>7.5</v>
      </c>
      <c r="L9" s="38" t="n"/>
      <c r="M9" s="47" t="n"/>
      <c r="N9" s="48" t="n"/>
      <c r="O9" s="18" t="n"/>
      <c r="P9" s="3">
        <f>SUM(O9,M9,K9,I9,G9,E9,C9)</f>
        <v/>
      </c>
      <c r="U9" t="inlineStr">
        <is>
          <t>OPS AM 7:30am</t>
        </is>
      </c>
    </row>
    <row r="10" ht="48" customHeight="1">
      <c r="A10" s="163" t="inlineStr">
        <is>
          <t>Chinnesha C</t>
        </is>
      </c>
      <c r="B10" s="165" t="inlineStr">
        <is>
          <t>CC f2 2p-6p/B@6 6:30-8 close campus w Pablo</t>
        </is>
      </c>
      <c r="C10" s="48" t="n">
        <v>5.5</v>
      </c>
      <c r="D10" s="258" t="n"/>
      <c r="E10" s="48" t="n"/>
      <c r="F10" s="60" t="inlineStr">
        <is>
          <t>CC 11a - 7p f6 B@2:30p</t>
        </is>
      </c>
      <c r="G10" s="48" t="n">
        <v>7.5</v>
      </c>
      <c r="H10" s="60" t="inlineStr">
        <is>
          <t>CC 11a - 7p f2 B@2:30p/ 7-8p help Sagar close</t>
        </is>
      </c>
      <c r="I10" s="48" t="n">
        <v>8.5</v>
      </c>
      <c r="J10" s="165" t="inlineStr">
        <is>
          <t>CC 7:45a-2:45p f6</t>
        </is>
      </c>
      <c r="K10" s="48" t="n">
        <v>6.5</v>
      </c>
      <c r="L10" s="165" t="inlineStr">
        <is>
          <t>CC 2p-7p f2</t>
        </is>
      </c>
      <c r="M10" s="48" t="n">
        <v>5</v>
      </c>
      <c r="N10" s="48" t="n"/>
      <c r="O10" s="18" t="n"/>
      <c r="P10" s="3">
        <f>SUM(O10,M10,K10,I10,G10,E10,C10)</f>
        <v/>
      </c>
      <c r="U10" t="inlineStr">
        <is>
          <t>OPD MID/ BRKS</t>
        </is>
      </c>
    </row>
    <row r="11" ht="32" customHeight="1">
      <c r="A11" s="128" t="inlineStr">
        <is>
          <t>Taran</t>
        </is>
      </c>
      <c r="B11" s="153" t="inlineStr">
        <is>
          <t>8a-6p ORIENTATION</t>
        </is>
      </c>
      <c r="C11" s="48" t="n">
        <v>9.5</v>
      </c>
      <c r="D11" s="153" t="inlineStr">
        <is>
          <t>RO</t>
        </is>
      </c>
      <c r="E11" s="48" t="n"/>
      <c r="F11" s="48" t="inlineStr">
        <is>
          <t>7:45a-4:45 f2 B@12:30</t>
        </is>
      </c>
      <c r="G11" s="48" t="n">
        <v>8.5</v>
      </c>
      <c r="H11" s="48" t="inlineStr">
        <is>
          <t>7:45a-8:30a ground/ 8:30a-3:45p f6</t>
        </is>
      </c>
      <c r="I11" s="48" t="n">
        <v>7.5</v>
      </c>
      <c r="J11" s="33" t="inlineStr">
        <is>
          <t>SICK</t>
        </is>
      </c>
      <c r="K11" s="48" t="n"/>
      <c r="L11" s="48" t="n"/>
      <c r="M11" s="48" t="n"/>
      <c r="N11" s="48" t="n"/>
      <c r="O11" s="18" t="n"/>
      <c r="P11" s="3">
        <f>SUM(O11,M11,K11,I11,G11,E11,C11)</f>
        <v/>
      </c>
      <c r="U11" t="inlineStr">
        <is>
          <t>OPS PM - finish 7:30</t>
        </is>
      </c>
    </row>
    <row r="12" ht="32" customHeight="1">
      <c r="A12" s="128" t="inlineStr">
        <is>
          <t xml:space="preserve">Marina </t>
        </is>
      </c>
      <c r="B12" s="81" t="inlineStr">
        <is>
          <t>10a-3p f2 desk</t>
        </is>
      </c>
      <c r="C12" s="48" t="n">
        <v>5</v>
      </c>
      <c r="D12" s="81" t="n"/>
      <c r="E12" s="48" t="n"/>
      <c r="F12" s="38" t="n"/>
      <c r="G12" s="48" t="n"/>
      <c r="H12" s="81" t="inlineStr">
        <is>
          <t>10a-3pm Ground</t>
        </is>
      </c>
      <c r="I12" s="48" t="n">
        <v>5</v>
      </c>
      <c r="J12" s="81" t="inlineStr">
        <is>
          <t>10a-3pm Ground</t>
        </is>
      </c>
      <c r="K12" s="48" t="n">
        <v>5</v>
      </c>
      <c r="L12" s="48" t="inlineStr">
        <is>
          <t>7:30a-5pm Ground B@12p</t>
        </is>
      </c>
      <c r="M12" s="48" t="n">
        <v>9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>Viviana B</t>
        </is>
      </c>
      <c r="B13" s="56" t="inlineStr">
        <is>
          <t>CC f6 2p-7p</t>
        </is>
      </c>
      <c r="C13" s="48" t="n">
        <v>5</v>
      </c>
      <c r="D13" s="165" t="inlineStr">
        <is>
          <t>CC 2p-7p f2</t>
        </is>
      </c>
      <c r="E13" s="48" t="n">
        <v>5</v>
      </c>
      <c r="F13" s="48" t="inlineStr">
        <is>
          <t>8a-1p help Aashima</t>
        </is>
      </c>
      <c r="G13" s="48" t="n">
        <v>5</v>
      </c>
      <c r="H13" s="259" t="inlineStr">
        <is>
          <t>CC 2p-7p f6</t>
        </is>
      </c>
      <c r="I13" s="48" t="n">
        <v>5</v>
      </c>
      <c r="J13" s="165" t="inlineStr">
        <is>
          <t>CC 2p-7p f6</t>
        </is>
      </c>
      <c r="K13" s="48" t="n">
        <v>5</v>
      </c>
      <c r="L13" s="56" t="inlineStr">
        <is>
          <t>CC 8a-4p f6</t>
        </is>
      </c>
      <c r="M13" s="48" t="n">
        <v>7.5</v>
      </c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>Iqra B</t>
        </is>
      </c>
      <c r="B14" s="56" t="inlineStr">
        <is>
          <t xml:space="preserve">CC f6 8a-2p </t>
        </is>
      </c>
      <c r="C14" s="48" t="n">
        <v>5.5</v>
      </c>
      <c r="D14" s="165" t="inlineStr">
        <is>
          <t>CC 1p-2p f2/ 2p-7p f6 B@3</t>
        </is>
      </c>
      <c r="E14" s="48" t="n">
        <v>5.5</v>
      </c>
      <c r="F14" s="60" t="inlineStr">
        <is>
          <t>CC 11a - 7p f2 B@2:30p</t>
        </is>
      </c>
      <c r="G14" s="48" t="n">
        <v>7.5</v>
      </c>
      <c r="H14" s="60" t="inlineStr">
        <is>
          <t>CC 8a-4p f6 B@2p</t>
        </is>
      </c>
      <c r="I14" s="48" t="n">
        <v>7.5</v>
      </c>
      <c r="J14" s="56" t="inlineStr">
        <is>
          <t>CC 8a-4p f2</t>
        </is>
      </c>
      <c r="K14" s="48" t="n">
        <v>7.5</v>
      </c>
      <c r="L14" s="48" t="n"/>
      <c r="M14" s="48" t="n"/>
      <c r="N14" s="48" t="n"/>
      <c r="O14" s="18" t="n"/>
      <c r="P14" s="3">
        <f>SUM(O14,M14,K14,I14,G14,E14,C14)</f>
        <v/>
      </c>
    </row>
    <row r="15" ht="33" customHeight="1">
      <c r="A15" s="128" t="inlineStr">
        <is>
          <t>Sagar - Intern wk6</t>
        </is>
      </c>
      <c r="B15" s="48" t="inlineStr">
        <is>
          <t>9a-5p w Aashima</t>
        </is>
      </c>
      <c r="C15" s="48" t="n">
        <v>7.5</v>
      </c>
      <c r="D15" s="48" t="inlineStr">
        <is>
          <t>TR w Pablo 12p-8pm</t>
        </is>
      </c>
      <c r="E15" s="48" t="n">
        <v>7.5</v>
      </c>
      <c r="F15" s="48" t="inlineStr">
        <is>
          <t>TR w Pablo 12p-8pm</t>
        </is>
      </c>
      <c r="G15" s="48" t="n">
        <v>7.5</v>
      </c>
      <c r="H15" s="48" t="inlineStr">
        <is>
          <t xml:space="preserve">12-3 go where busy/ 3-8 ground/ close </t>
        </is>
      </c>
      <c r="I15" s="48" t="n">
        <v>7.5</v>
      </c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16" customHeight="1">
      <c r="A16" s="45" t="inlineStr">
        <is>
          <t>Anastasia B</t>
        </is>
      </c>
      <c r="B16" s="82" t="inlineStr">
        <is>
          <t>10a-8p Orientation</t>
        </is>
      </c>
      <c r="C16" s="18" t="n">
        <v>9.5</v>
      </c>
      <c r="D16" s="82" t="inlineStr">
        <is>
          <t>sick</t>
        </is>
      </c>
      <c r="E16" s="18" t="n"/>
      <c r="F16" s="85" t="inlineStr">
        <is>
          <t>sick</t>
        </is>
      </c>
      <c r="G16" s="18" t="n"/>
      <c r="H16" s="82" t="n"/>
      <c r="I16" s="18" t="n"/>
      <c r="J16" s="82" t="n"/>
      <c r="K16" s="18" t="n"/>
      <c r="L16" s="56" t="inlineStr">
        <is>
          <t>SICK</t>
        </is>
      </c>
      <c r="M16" s="51" t="n"/>
      <c r="N16" s="48" t="n"/>
      <c r="O16" s="18" t="n"/>
      <c r="P16" s="3">
        <f>SUM(O16,M16,K16,I16,G16,E16,C16)</f>
        <v/>
      </c>
    </row>
    <row r="17" ht="32" customHeight="1">
      <c r="A17" s="45" t="inlineStr">
        <is>
          <t>Karan C</t>
        </is>
      </c>
      <c r="B17" s="82" t="n"/>
      <c r="C17" s="18" t="n"/>
      <c r="E17" s="18" t="n"/>
      <c r="F17" s="165" t="inlineStr">
        <is>
          <t>CC 7:45a-3:45p f6</t>
        </is>
      </c>
      <c r="G17" s="48" t="n">
        <v>7.5</v>
      </c>
      <c r="H17" s="85" t="inlineStr">
        <is>
          <t>8a-9 ground/ 9a-1pm elev f6</t>
        </is>
      </c>
      <c r="I17" s="18" t="n">
        <v>5</v>
      </c>
      <c r="J17" s="85" t="inlineStr">
        <is>
          <t>1-6p elev f2</t>
        </is>
      </c>
      <c r="K17" s="18" t="n">
        <v>5</v>
      </c>
      <c r="L17" s="60" t="inlineStr">
        <is>
          <t>CC 11:30a - 7p f6 B@2:30p</t>
        </is>
      </c>
      <c r="M17" s="48" t="n">
        <v>7</v>
      </c>
      <c r="N17" s="48" t="n"/>
      <c r="O17" s="18" t="n"/>
      <c r="P17" s="3">
        <f>SUM(O17,M17,K17,I17,G17,E17,C17)</f>
        <v/>
      </c>
    </row>
    <row r="18" ht="48" customHeight="1">
      <c r="A18" s="45" t="inlineStr">
        <is>
          <t>Francisco C</t>
        </is>
      </c>
      <c r="B18" s="82" t="n"/>
      <c r="C18" s="18" t="n"/>
      <c r="D18" s="18" t="inlineStr">
        <is>
          <t>7:30a-4:30pm ground/ Set-up B@12</t>
        </is>
      </c>
      <c r="E18" s="48" t="n">
        <v>8.5</v>
      </c>
      <c r="F18" s="85" t="inlineStr">
        <is>
          <t>1-6p Ground</t>
        </is>
      </c>
      <c r="G18" s="18" t="n">
        <v>5</v>
      </c>
      <c r="H18" s="85" t="inlineStr">
        <is>
          <t>9a-5pm set-up/ help where needed</t>
        </is>
      </c>
      <c r="I18" s="18" t="n">
        <v>7.5</v>
      </c>
      <c r="J18" s="82" t="n"/>
      <c r="K18" s="18" t="n"/>
      <c r="L18" s="85" t="inlineStr">
        <is>
          <t>8a-1pm f2/Set-up - see list in group chat</t>
        </is>
      </c>
      <c r="M18" s="18" t="n">
        <v>5</v>
      </c>
      <c r="N18" s="48" t="n"/>
      <c r="O18" s="18" t="n"/>
      <c r="P18" s="3">
        <f>SUM(O18,M18,K18,I18,G18,E18,C18)</f>
        <v/>
      </c>
    </row>
    <row r="19" ht="16" customHeight="1">
      <c r="A19" s="45" t="inlineStr">
        <is>
          <t>New Intern next week?</t>
        </is>
      </c>
      <c r="B19" s="82" t="n"/>
      <c r="C19" s="18" t="n"/>
      <c r="D19" s="82" t="n"/>
      <c r="E19" s="18" t="n"/>
      <c r="F19" s="85" t="n"/>
      <c r="G19" s="18" t="n"/>
      <c r="H19" s="85" t="n"/>
      <c r="I19" s="18" t="n"/>
      <c r="J19" s="82" t="n"/>
      <c r="K19" s="18" t="n"/>
      <c r="L19" s="85" t="n"/>
      <c r="M19" s="18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New Intern next week?</t>
        </is>
      </c>
      <c r="B20" s="82" t="n"/>
      <c r="C20" s="18" t="n"/>
      <c r="D20" s="82" t="n"/>
      <c r="E20" s="18" t="n"/>
      <c r="F20" s="85" t="n"/>
      <c r="G20" s="18" t="n"/>
      <c r="H20" s="85" t="n"/>
      <c r="I20" s="18" t="n"/>
      <c r="J20" s="82" t="n"/>
      <c r="K20" s="18" t="n"/>
      <c r="L20" s="85" t="n"/>
      <c r="M20" s="18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F22" s="82" t="n"/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T26" t="inlineStr">
        <is>
          <t xml:space="preserve"> 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L9" sqref="L9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16.1640625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5.5" bestFit="1" customWidth="1" min="11" max="11"/>
    <col width="17.33203125" bestFit="1" customWidth="1" min="12" max="12"/>
    <col width="5.5" bestFit="1" customWidth="1" min="13" max="13"/>
    <col width="12.6640625" bestFit="1" customWidth="1" min="14" max="14"/>
    <col width="4.5" bestFit="1" customWidth="1" min="15" max="15"/>
    <col width="7.1640625" customWidth="1" min="16" max="16"/>
    <col width="9" bestFit="1" customWidth="1" min="19" max="19"/>
    <col width="7.5" bestFit="1" customWidth="1" min="20" max="20"/>
    <col width="20.5" bestFit="1" customWidth="1" min="21" max="21"/>
  </cols>
  <sheetData>
    <row r="1" ht="16" customHeight="1">
      <c r="A1" s="1" t="n"/>
      <c r="B1" s="1" t="inlineStr">
        <is>
          <t>Monday</t>
        </is>
      </c>
      <c r="C1" s="2" t="inlineStr">
        <is>
          <t>HRS</t>
        </is>
      </c>
      <c r="D1" s="45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46020</v>
      </c>
      <c r="C2" s="6" t="n"/>
      <c r="D2" s="5" t="n">
        <v>46021</v>
      </c>
      <c r="E2" s="6" t="n"/>
      <c r="F2" s="5" t="n">
        <v>46022</v>
      </c>
      <c r="G2" s="6" t="n"/>
      <c r="H2" s="5" t="n">
        <v>45658</v>
      </c>
      <c r="I2" s="6" t="n"/>
      <c r="J2" s="5" t="n">
        <v>45659</v>
      </c>
      <c r="K2" s="6" t="n"/>
      <c r="L2" s="5" t="n">
        <v>45660</v>
      </c>
      <c r="M2" s="6" t="n"/>
      <c r="N2" s="5" t="n">
        <v>45661</v>
      </c>
      <c r="O2" s="7" t="n"/>
      <c r="P2" s="3" t="n"/>
    </row>
    <row r="3" ht="68.5" customHeight="1">
      <c r="A3" s="8" t="inlineStr">
        <is>
          <t>EVENTS</t>
        </is>
      </c>
      <c r="B3" s="9" t="inlineStr">
        <is>
          <t xml:space="preserve">Reading Week               MOVING                               </t>
        </is>
      </c>
      <c r="C3" s="10" t="n"/>
      <c r="D3" s="9" t="inlineStr">
        <is>
          <t xml:space="preserve">Reading Week               MOVING   FINAL                                </t>
        </is>
      </c>
      <c r="E3" s="10" t="n"/>
      <c r="F3" s="9" t="inlineStr">
        <is>
          <t>New Year's Eve</t>
        </is>
      </c>
      <c r="G3" s="11" t="n"/>
      <c r="H3" s="92" t="inlineStr">
        <is>
          <t>New Year's DAY</t>
        </is>
      </c>
      <c r="I3" s="10" t="n"/>
      <c r="J3" s="9" t="inlineStr">
        <is>
          <t>Reading Week               SET-UP FURNITURE</t>
        </is>
      </c>
      <c r="K3" s="10" t="n"/>
      <c r="L3" s="9" t="inlineStr">
        <is>
          <t>Reading Week                                     SET-UP FURNITURE / FRANCO 8a-4p</t>
        </is>
      </c>
      <c r="M3" s="13" t="n"/>
      <c r="N3" s="9" t="inlineStr">
        <is>
          <t>Reading Week               MOVING                        SET-UP FURNITURE</t>
        </is>
      </c>
      <c r="O3" s="15" t="n"/>
      <c r="P3" s="3" t="n"/>
    </row>
    <row r="4" ht="16" customHeight="1">
      <c r="A4" s="16" t="inlineStr">
        <is>
          <t>Fran</t>
        </is>
      </c>
      <c r="B4" s="19" t="inlineStr">
        <is>
          <t>7a-7p</t>
        </is>
      </c>
      <c r="C4" s="18" t="n">
        <v>12</v>
      </c>
      <c r="D4" s="19" t="inlineStr">
        <is>
          <t>7a-8p</t>
        </is>
      </c>
      <c r="E4" s="18" t="n">
        <v>13</v>
      </c>
      <c r="F4" s="19" t="inlineStr">
        <is>
          <t>8a-8p</t>
        </is>
      </c>
      <c r="G4" s="18" t="n">
        <v>12</v>
      </c>
      <c r="H4" s="19" t="inlineStr">
        <is>
          <t>STAT</t>
        </is>
      </c>
      <c r="I4" s="18" t="n">
        <v>8</v>
      </c>
      <c r="J4" s="19" t="inlineStr">
        <is>
          <t>9a-8p +8 comp owed</t>
        </is>
      </c>
      <c r="K4" s="18" t="n">
        <v>19</v>
      </c>
      <c r="L4" s="94" t="inlineStr">
        <is>
          <t>12p-8:30p</t>
        </is>
      </c>
      <c r="M4" s="18" t="n">
        <v>7.5</v>
      </c>
      <c r="N4" s="18" t="inlineStr">
        <is>
          <t>10a-3:30</t>
        </is>
      </c>
      <c r="O4" s="18" t="n">
        <v>5.5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8a-8p</t>
        </is>
      </c>
      <c r="G5" s="24" t="n">
        <v>12</v>
      </c>
      <c r="H5" s="26" t="inlineStr">
        <is>
          <t>STAT</t>
        </is>
      </c>
      <c r="I5" s="24" t="n">
        <v>8</v>
      </c>
      <c r="J5" s="26" t="inlineStr">
        <is>
          <t>comp off</t>
        </is>
      </c>
      <c r="K5" s="24" t="n">
        <v>8</v>
      </c>
      <c r="L5" s="26" t="inlineStr">
        <is>
          <t>wfh 4hrs</t>
        </is>
      </c>
      <c r="M5" s="24" t="n">
        <v>4</v>
      </c>
      <c r="N5" s="24" t="inlineStr">
        <is>
          <t>OFF</t>
        </is>
      </c>
      <c r="O5" s="18" t="n"/>
      <c r="P5" s="3">
        <f>SUM(O5,M5,K5,I5,G5,E5,C5)</f>
        <v/>
      </c>
    </row>
    <row r="6" ht="75" customHeight="1">
      <c r="A6" s="163" t="inlineStr">
        <is>
          <t>Daria</t>
        </is>
      </c>
      <c r="B6" s="48" t="inlineStr">
        <is>
          <t>RO</t>
        </is>
      </c>
      <c r="C6" s="48" t="n"/>
      <c r="D6" s="50" t="inlineStr">
        <is>
          <t>11a-5 New Campus</t>
        </is>
      </c>
      <c r="E6" s="50" t="n">
        <v>5.5</v>
      </c>
      <c r="F6" s="165" t="inlineStr">
        <is>
          <t>CC 11a-8:30p Onsite New Campus B@3:30p</t>
        </is>
      </c>
      <c r="G6" s="48" t="n">
        <v>9</v>
      </c>
      <c r="H6" s="130" t="n"/>
      <c r="I6" s="48" t="n"/>
      <c r="J6" s="50" t="inlineStr">
        <is>
          <t>8a-5:30p  Set-UP new campus</t>
        </is>
      </c>
      <c r="K6" s="50" t="n">
        <v>9</v>
      </c>
      <c r="L6" s="50" t="inlineStr">
        <is>
          <t>8a-4p  Set-UP new campus</t>
        </is>
      </c>
      <c r="M6" s="50" t="n">
        <v>7.5</v>
      </c>
      <c r="N6" s="50" t="inlineStr">
        <is>
          <t>9a-3:30p Set-UP</t>
        </is>
      </c>
      <c r="O6" s="50" t="n">
        <v>6.5</v>
      </c>
      <c r="P6" s="3">
        <f>SUM(O6,M6,K6,I6,G6,E6,C6)</f>
        <v/>
      </c>
    </row>
    <row r="7" ht="32" customHeight="1">
      <c r="A7" s="163" t="inlineStr">
        <is>
          <t>Pablo</t>
        </is>
      </c>
      <c r="B7" s="50" t="inlineStr">
        <is>
          <t>9a-5 New Campus</t>
        </is>
      </c>
      <c r="C7" s="50" t="n">
        <v>7.5</v>
      </c>
      <c r="D7" s="50" t="inlineStr">
        <is>
          <t>9a-5 New Campus</t>
        </is>
      </c>
      <c r="E7" s="50" t="n">
        <v>7.5</v>
      </c>
      <c r="F7" s="50" t="inlineStr">
        <is>
          <t>10a-7pNew Campus</t>
        </is>
      </c>
      <c r="G7" s="50" t="n">
        <v>6.5</v>
      </c>
      <c r="H7" s="130" t="inlineStr">
        <is>
          <t>STAT</t>
        </is>
      </c>
      <c r="I7" s="48" t="n"/>
      <c r="J7" s="50" t="inlineStr">
        <is>
          <t>9a-2 Set-UP</t>
        </is>
      </c>
      <c r="K7" s="50" t="n">
        <v>5</v>
      </c>
      <c r="L7" s="50" t="inlineStr">
        <is>
          <t>9a-5 Set-UP</t>
        </is>
      </c>
      <c r="M7" s="50" t="n">
        <v>7.5</v>
      </c>
      <c r="N7" s="50" t="inlineStr">
        <is>
          <t>RO</t>
        </is>
      </c>
      <c r="O7" s="50" t="n"/>
      <c r="P7" s="3">
        <f>SUM(O7,M7,K7,I7,G7,E7,C7)</f>
        <v/>
      </c>
      <c r="R7" s="252" t="inlineStr">
        <is>
          <t>6th Floor</t>
        </is>
      </c>
      <c r="S7" s="252" t="inlineStr">
        <is>
          <t>2nd Floor</t>
        </is>
      </c>
      <c r="T7" s="252" t="inlineStr">
        <is>
          <t>Ground</t>
        </is>
      </c>
      <c r="U7" s="252" t="n"/>
    </row>
    <row r="8" ht="32" customHeight="1">
      <c r="A8" s="163" t="inlineStr">
        <is>
          <t>Kavya</t>
        </is>
      </c>
      <c r="B8" s="48" t="inlineStr">
        <is>
          <t>8a-4pm Wrap up old cmpus</t>
        </is>
      </c>
      <c r="C8" s="48" t="n">
        <v>7.5</v>
      </c>
      <c r="D8" s="56" t="inlineStr">
        <is>
          <t>CC 8a-4p f9</t>
        </is>
      </c>
      <c r="E8" s="48" t="n">
        <v>7.5</v>
      </c>
      <c r="F8" s="56" t="inlineStr">
        <is>
          <t>CC 8a-4p wfh</t>
        </is>
      </c>
      <c r="G8" s="48" t="n">
        <v>7.5</v>
      </c>
      <c r="H8" s="197" t="n"/>
      <c r="I8" s="48" t="n"/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  <c r="R8" s="252" t="n"/>
      <c r="S8" s="252" t="n"/>
      <c r="T8" s="232" t="n"/>
      <c r="U8" s="252" t="inlineStr">
        <is>
          <t>CC AM</t>
        </is>
      </c>
    </row>
    <row r="9" ht="32" customHeight="1">
      <c r="A9" s="163" t="inlineStr">
        <is>
          <t>Osmaro</t>
        </is>
      </c>
      <c r="B9" s="135" t="inlineStr">
        <is>
          <t>RO</t>
        </is>
      </c>
      <c r="C9" s="48" t="n"/>
      <c r="D9" s="135" t="inlineStr">
        <is>
          <t>RO</t>
        </is>
      </c>
      <c r="E9" s="48" t="n"/>
      <c r="F9" s="135" t="inlineStr">
        <is>
          <t>RO</t>
        </is>
      </c>
      <c r="G9" s="48" t="n"/>
      <c r="H9" s="242" t="n"/>
      <c r="I9" s="48" t="n"/>
      <c r="J9" s="45" t="inlineStr">
        <is>
          <t>RO</t>
        </is>
      </c>
      <c r="K9" s="48" t="n"/>
      <c r="L9" s="50" t="inlineStr">
        <is>
          <t>9a-7p Set-UP</t>
        </is>
      </c>
      <c r="M9" s="50" t="n">
        <v>9.5</v>
      </c>
      <c r="N9" s="50" t="inlineStr">
        <is>
          <t>9:30a-3:30p Set-UP</t>
        </is>
      </c>
      <c r="O9" s="50" t="n">
        <v>6</v>
      </c>
      <c r="P9" s="3">
        <f>SUM(O9,M9,K9,I9,G9,E9,C9)</f>
        <v/>
      </c>
      <c r="R9" s="252" t="n"/>
      <c r="S9" s="252" t="n"/>
      <c r="T9" s="232" t="n"/>
      <c r="U9" s="252" t="inlineStr">
        <is>
          <t>CC PM</t>
        </is>
      </c>
    </row>
    <row r="10" ht="47" customHeight="1">
      <c r="A10" s="163" t="inlineStr">
        <is>
          <t>Chinnesha</t>
        </is>
      </c>
      <c r="B10" s="165" t="inlineStr">
        <is>
          <t>CC 11a-7p f9 B@3:30p</t>
        </is>
      </c>
      <c r="C10" s="48" t="n">
        <v>7.5</v>
      </c>
      <c r="D10" s="165" t="n"/>
      <c r="E10" s="48" t="n"/>
      <c r="F10" s="165" t="n"/>
      <c r="G10" s="48" t="n"/>
      <c r="H10" s="197" t="n"/>
      <c r="I10" s="48" t="n"/>
      <c r="J10" s="60" t="inlineStr">
        <is>
          <t>CC 8a-12p f6/ B@12/ 12:30-6pm set-up</t>
        </is>
      </c>
      <c r="K10" s="50" t="n">
        <v>9.5</v>
      </c>
      <c r="L10" s="50" t="inlineStr">
        <is>
          <t>8a-4p  Set-UP new campus</t>
        </is>
      </c>
      <c r="M10" s="48" t="n">
        <v>7.5</v>
      </c>
      <c r="N10" s="48" t="n"/>
      <c r="O10" s="18" t="n"/>
      <c r="P10" s="3">
        <f>SUM(O10,M10,K10,I10,G10,E10,C10)</f>
        <v/>
      </c>
      <c r="R10" s="252" t="n"/>
      <c r="S10" s="252" t="n"/>
      <c r="T10" s="252" t="n"/>
      <c r="U10" s="252" t="inlineStr">
        <is>
          <t>OPS AM 7:30am</t>
        </is>
      </c>
    </row>
    <row r="11" ht="48" customHeight="1">
      <c r="A11" s="163" t="inlineStr">
        <is>
          <t>Anastasia</t>
        </is>
      </c>
      <c r="B11" s="50" t="inlineStr">
        <is>
          <t>9a-5 New Campus w fran</t>
        </is>
      </c>
      <c r="C11" s="50" t="n">
        <v>7.5</v>
      </c>
      <c r="D11" s="50" t="inlineStr">
        <is>
          <t>9a-5 New Campus w fran</t>
        </is>
      </c>
      <c r="E11" s="50" t="n">
        <v>7.5</v>
      </c>
      <c r="F11" s="101" t="n"/>
      <c r="G11" s="48" t="n"/>
      <c r="H11" s="197" t="n"/>
      <c r="I11" s="48" t="n"/>
      <c r="J11" s="50" t="inlineStr">
        <is>
          <t>9a-5:30 Set-UP</t>
        </is>
      </c>
      <c r="K11" s="48" t="n">
        <v>8</v>
      </c>
      <c r="L11" s="234" t="inlineStr">
        <is>
          <t>Set-UP for Orientation 11a-7pm</t>
        </is>
      </c>
      <c r="M11" s="240" t="n">
        <v>7.5</v>
      </c>
      <c r="N11" s="50" t="n"/>
      <c r="O11" s="50" t="n"/>
      <c r="P11" s="3">
        <f>SUM(O11,M11,K11,I11,G11,E11,C11)</f>
        <v/>
      </c>
      <c r="R11" s="252" t="n"/>
      <c r="S11" s="252" t="n"/>
      <c r="T11" s="252" t="n"/>
      <c r="U11" s="252" t="inlineStr">
        <is>
          <t>OPD MID/ BRKS</t>
        </is>
      </c>
    </row>
    <row r="12" ht="51.5" customHeight="1">
      <c r="A12" s="163" t="inlineStr">
        <is>
          <t>Karan</t>
        </is>
      </c>
      <c r="B12" s="56" t="inlineStr">
        <is>
          <t>CC 8a-4p f9 80 Bloor</t>
        </is>
      </c>
      <c r="C12" s="48" t="n">
        <v>7.5</v>
      </c>
      <c r="D12" s="165" t="inlineStr">
        <is>
          <t>CC 11a-7p f9 B@3:30p</t>
        </is>
      </c>
      <c r="E12" s="48" t="n">
        <v>7.5</v>
      </c>
      <c r="F12" s="50" t="inlineStr">
        <is>
          <t>8a-4pm old Campus move</t>
        </is>
      </c>
      <c r="G12" s="48" t="n">
        <v>7.5</v>
      </c>
      <c r="H12" s="197" t="n"/>
      <c r="I12" s="48" t="n"/>
      <c r="J12" s="101" t="n"/>
      <c r="K12" s="48" t="n"/>
      <c r="L12" s="251" t="n"/>
      <c r="M12" s="48" t="n"/>
      <c r="N12" s="48" t="n"/>
      <c r="O12" s="18" t="n"/>
      <c r="P12" s="3">
        <f>SUM(O12,M12,K12,I12,G12,E12,C12)</f>
        <v/>
      </c>
      <c r="R12" s="252" t="n"/>
      <c r="S12" s="252" t="n"/>
      <c r="T12" s="252" t="n"/>
      <c r="U12" s="252" t="inlineStr">
        <is>
          <t>OPS PM - finish 7:30</t>
        </is>
      </c>
    </row>
    <row r="13" ht="48" customHeight="1">
      <c r="A13" s="128" t="inlineStr">
        <is>
          <t>Taran</t>
        </is>
      </c>
      <c r="B13" s="50" t="inlineStr">
        <is>
          <t>9a-5 New Campus</t>
        </is>
      </c>
      <c r="C13" s="50" t="n">
        <v>7.5</v>
      </c>
      <c r="D13" s="50" t="inlineStr">
        <is>
          <t>9a-5 New Campus</t>
        </is>
      </c>
      <c r="E13" s="50" t="n">
        <v>7.5</v>
      </c>
      <c r="F13" s="101" t="inlineStr">
        <is>
          <t>8a-5pm old Campus</t>
        </is>
      </c>
      <c r="G13" s="48" t="n">
        <v>8.5</v>
      </c>
      <c r="H13" s="130" t="n"/>
      <c r="I13" s="48" t="n"/>
      <c r="J13" s="101" t="inlineStr">
        <is>
          <t>RO</t>
        </is>
      </c>
      <c r="K13" s="48" t="n"/>
      <c r="L13" s="234" t="inlineStr">
        <is>
          <t>Set-UP for Orientation 11a-7pm</t>
        </is>
      </c>
      <c r="M13" s="240" t="n">
        <v>7.5</v>
      </c>
      <c r="N13" s="50" t="n"/>
      <c r="O13" s="50" t="n"/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48" t="n"/>
      <c r="C14" s="48" t="n"/>
      <c r="D14" s="38" t="n"/>
      <c r="E14" s="48" t="n"/>
      <c r="F14" s="48" t="n"/>
      <c r="G14" s="48" t="n"/>
      <c r="H14" s="130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32" customHeight="1">
      <c r="A15" s="163" t="inlineStr">
        <is>
          <t>Viviana B</t>
        </is>
      </c>
      <c r="B15" s="48" t="n"/>
      <c r="C15" s="48" t="n"/>
      <c r="D15" s="164" t="n"/>
      <c r="E15" s="48" t="n"/>
      <c r="F15" s="50" t="inlineStr">
        <is>
          <t>9a-6 New Campus</t>
        </is>
      </c>
      <c r="G15" s="50" t="n">
        <v>8.5</v>
      </c>
      <c r="H15" s="242" t="n"/>
      <c r="I15" s="48" t="n"/>
      <c r="J15" s="60" t="inlineStr">
        <is>
          <t>CC 2p-7p f2</t>
        </is>
      </c>
      <c r="K15" s="48" t="n">
        <v>5</v>
      </c>
      <c r="L15" s="60" t="inlineStr">
        <is>
          <t>CC 2p-7p f2</t>
        </is>
      </c>
      <c r="M15" s="48" t="n">
        <v>5</v>
      </c>
      <c r="N15" s="50" t="inlineStr">
        <is>
          <t>9a-3:30p Set-UP</t>
        </is>
      </c>
      <c r="O15" s="50" t="n">
        <v>6.5</v>
      </c>
      <c r="P15" s="3">
        <f>SUM(O15,M15,K15,I15,G15,E15,C15)</f>
        <v/>
      </c>
    </row>
    <row r="16" ht="16" customHeight="1">
      <c r="A16" s="163" t="inlineStr">
        <is>
          <t xml:space="preserve">Iqra </t>
        </is>
      </c>
      <c r="B16" s="48" t="n"/>
      <c r="C16" s="48" t="n"/>
      <c r="D16" s="164" t="n"/>
      <c r="E16" s="48" t="n"/>
      <c r="F16" s="48" t="n"/>
      <c r="G16" s="48" t="n"/>
      <c r="H16" s="242" t="n"/>
      <c r="I16" s="48" t="n"/>
      <c r="J16" s="60" t="inlineStr">
        <is>
          <t>CC 12p-5p f2</t>
        </is>
      </c>
      <c r="K16" s="48" t="n">
        <v>5</v>
      </c>
      <c r="L16" s="60" t="inlineStr">
        <is>
          <t>CC 8a-4p f2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32" customHeight="1">
      <c r="A17" s="128" t="inlineStr">
        <is>
          <t>Sagar - Intern wk5</t>
        </is>
      </c>
      <c r="B17" s="168" t="n"/>
      <c r="C17" s="48" t="n"/>
      <c r="D17" s="50" t="inlineStr">
        <is>
          <t>9a-5 New Campus</t>
        </is>
      </c>
      <c r="E17" s="50" t="n">
        <v>7.5</v>
      </c>
      <c r="F17" s="50" t="inlineStr">
        <is>
          <t>9a-5 old campus</t>
        </is>
      </c>
      <c r="G17" s="50" t="n">
        <v>7.5</v>
      </c>
      <c r="H17" s="242" t="n"/>
      <c r="I17" s="48" t="n"/>
      <c r="J17" s="50" t="inlineStr">
        <is>
          <t>9a-7 Set-up New Campus</t>
        </is>
      </c>
      <c r="K17" s="50" t="n">
        <v>9.5</v>
      </c>
      <c r="L17" s="48" t="n"/>
      <c r="M17" s="48" t="n"/>
      <c r="N17" s="50" t="inlineStr">
        <is>
          <t>9a-3:30p Set-UP</t>
        </is>
      </c>
      <c r="O17" s="50" t="n">
        <v>6.5</v>
      </c>
      <c r="P17" s="3">
        <f>SUM(O17,M17,K17,I17,G17,E17,C17)</f>
        <v/>
      </c>
    </row>
    <row r="18" ht="16" customHeight="1">
      <c r="A18" s="45" t="inlineStr">
        <is>
          <t>Francisco</t>
        </is>
      </c>
      <c r="B18" s="50" t="inlineStr">
        <is>
          <t>9a-5 New Campus</t>
        </is>
      </c>
      <c r="C18" s="50" t="n">
        <v>7.5</v>
      </c>
      <c r="D18" s="50" t="inlineStr">
        <is>
          <t>9a-5 New Campus</t>
        </is>
      </c>
      <c r="E18" s="50" t="n">
        <v>7.5</v>
      </c>
      <c r="F18" s="50" t="inlineStr">
        <is>
          <t>8a-5p old campus</t>
        </is>
      </c>
      <c r="G18" s="50" t="n">
        <v>8.5</v>
      </c>
      <c r="H18" s="82" t="n"/>
      <c r="I18" s="18" t="n"/>
      <c r="J18" s="82" t="n"/>
      <c r="K18" s="18" t="n"/>
      <c r="L18" s="18" t="n"/>
      <c r="M18" s="51" t="n"/>
      <c r="N18" s="48" t="n"/>
      <c r="O18" s="18" t="n"/>
      <c r="P18" s="3">
        <f>SUM(O18,M18,K18,I18,G18,E18,C18)</f>
        <v/>
      </c>
    </row>
    <row r="19">
      <c r="A19" s="45" t="n"/>
      <c r="B19" s="82" t="n"/>
      <c r="C19" s="18" t="n"/>
      <c r="D19" s="82" t="n"/>
      <c r="E19" s="18" t="n"/>
      <c r="F19" s="85" t="n"/>
      <c r="G19" s="18" t="n"/>
      <c r="H19" s="82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SUM(C6:C19)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SUM(O8:O18)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6" customHeight="1" thickBot="1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20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9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20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</row>
    <row r="27" ht="20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20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9" customHeight="1">
      <c r="A29" s="150" t="inlineStr">
        <is>
          <t>12-3p</t>
        </is>
      </c>
      <c r="D29" s="442" t="inlineStr">
        <is>
          <t>first 30 hours IBU Ops</t>
        </is>
      </c>
      <c r="J29" s="443" t="n"/>
    </row>
    <row r="30" ht="19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9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</row>
    <row r="32" ht="16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Normal="100" zoomScaleSheetLayoutView="100" workbookViewId="0">
      <selection activeCell="G16" sqref="G16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5" bestFit="1" customWidth="1" min="13" max="13"/>
    <col width="7.33203125" bestFit="1" customWidth="1" min="14" max="14"/>
    <col width="4.5" bestFit="1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46013</v>
      </c>
      <c r="C2" s="6" t="n"/>
      <c r="D2" s="5" t="n">
        <v>46014</v>
      </c>
      <c r="E2" s="6" t="n"/>
      <c r="F2" s="5" t="n">
        <v>46015</v>
      </c>
      <c r="G2" s="6" t="n"/>
      <c r="H2" s="5" t="n">
        <v>46016</v>
      </c>
      <c r="I2" s="6" t="n"/>
      <c r="J2" s="5" t="n">
        <v>46017</v>
      </c>
      <c r="K2" s="6" t="n"/>
      <c r="L2" s="5" t="n">
        <v>46018</v>
      </c>
      <c r="M2" s="6" t="n"/>
      <c r="N2" s="5" t="n">
        <v>46019</v>
      </c>
      <c r="O2" s="7" t="n"/>
      <c r="P2" s="3" t="n"/>
    </row>
    <row r="3" ht="64" customHeight="1">
      <c r="A3" s="8" t="inlineStr">
        <is>
          <t>EVENTS</t>
        </is>
      </c>
      <c r="B3" s="9" t="inlineStr">
        <is>
          <t>Reading Week                        MOVING  TO STORAGE REGISTRATION</t>
        </is>
      </c>
      <c r="C3" s="10" t="n"/>
      <c r="D3" s="9" t="inlineStr">
        <is>
          <t>Reading Week                        MOVING  / ADONIS gone  / REGISTRATION</t>
        </is>
      </c>
      <c r="E3" s="10" t="n"/>
      <c r="F3" s="9" t="inlineStr">
        <is>
          <t>Reading Week                        MOVING</t>
        </is>
      </c>
      <c r="G3" s="11" t="n"/>
      <c r="H3" s="92" t="inlineStr">
        <is>
          <t>Christmas</t>
        </is>
      </c>
      <c r="I3" s="10" t="n"/>
      <c r="J3" s="12" t="inlineStr">
        <is>
          <t>Boxing Day</t>
        </is>
      </c>
      <c r="K3" s="10" t="n"/>
      <c r="L3" s="9" t="inlineStr">
        <is>
          <t xml:space="preserve">Reading Week                        </t>
        </is>
      </c>
      <c r="M3" s="13" t="n"/>
      <c r="N3" s="9" t="inlineStr">
        <is>
          <t xml:space="preserve">Reading Week                       </t>
        </is>
      </c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 xml:space="preserve">9a-5pm new campus </t>
        </is>
      </c>
      <c r="G4" s="18" t="n">
        <v>8</v>
      </c>
      <c r="H4" s="19" t="inlineStr">
        <is>
          <t>STAT</t>
        </is>
      </c>
      <c r="I4" s="18" t="n">
        <v>8</v>
      </c>
      <c r="J4" s="19" t="inlineStr">
        <is>
          <t>STAT</t>
        </is>
      </c>
      <c r="K4" s="18" t="n">
        <v>8</v>
      </c>
      <c r="L4" s="19" t="inlineStr">
        <is>
          <t>OFF</t>
        </is>
      </c>
      <c r="M4" s="18" t="n">
        <v>0</v>
      </c>
      <c r="N4" s="19" t="inlineStr">
        <is>
          <t>tbd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9a-5pm Bloor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9am-5pm new c</t>
        </is>
      </c>
      <c r="G5" s="24" t="n">
        <v>8</v>
      </c>
      <c r="H5" s="26" t="inlineStr">
        <is>
          <t>STAT</t>
        </is>
      </c>
      <c r="I5" s="24" t="n">
        <v>8</v>
      </c>
      <c r="J5" s="26" t="inlineStr">
        <is>
          <t>STAT</t>
        </is>
      </c>
      <c r="K5" s="24" t="n">
        <v>8</v>
      </c>
      <c r="L5" s="24" t="inlineStr">
        <is>
          <t>OFF</t>
        </is>
      </c>
      <c r="M5" s="95" t="n"/>
      <c r="N5" s="24" t="inlineStr">
        <is>
          <t>OFF</t>
        </is>
      </c>
      <c r="O5" s="18" t="n"/>
      <c r="P5" s="3">
        <f>SUM(O5,M5,K5,I5,G5,E5,C5)</f>
        <v/>
      </c>
    </row>
    <row r="6" ht="16" customHeight="1">
      <c r="A6" s="163" t="inlineStr">
        <is>
          <t>Daria</t>
        </is>
      </c>
      <c r="B6" s="38" t="inlineStr">
        <is>
          <t>RO</t>
        </is>
      </c>
      <c r="C6" s="38" t="n"/>
      <c r="D6" s="253" t="inlineStr">
        <is>
          <t>RO</t>
        </is>
      </c>
      <c r="E6" s="38" t="n"/>
      <c r="F6" s="253" t="inlineStr">
        <is>
          <t>RO</t>
        </is>
      </c>
      <c r="G6" s="38" t="n"/>
      <c r="H6" s="38" t="inlineStr">
        <is>
          <t>RO</t>
        </is>
      </c>
      <c r="I6" s="38" t="n"/>
      <c r="J6" s="38" t="inlineStr">
        <is>
          <t>RO</t>
        </is>
      </c>
      <c r="K6" s="38" t="n"/>
      <c r="L6" s="38" t="inlineStr">
        <is>
          <t>RO</t>
        </is>
      </c>
      <c r="M6" s="38" t="n"/>
      <c r="N6" s="38" t="inlineStr">
        <is>
          <t>RO</t>
        </is>
      </c>
      <c r="O6" s="18" t="n"/>
      <c r="P6" s="3">
        <f>SUM(O6,M6,K6,I6,G6,E6,C6)</f>
        <v/>
      </c>
    </row>
    <row r="7" ht="16" customHeight="1">
      <c r="A7" s="163" t="inlineStr">
        <is>
          <t>Pablo</t>
        </is>
      </c>
      <c r="B7" s="246" t="inlineStr">
        <is>
          <t>9a-5 New Campus</t>
        </is>
      </c>
      <c r="C7" s="240" t="n">
        <v>7.5</v>
      </c>
      <c r="D7" s="247" t="inlineStr">
        <is>
          <t>9-5 New campus set-up</t>
        </is>
      </c>
      <c r="E7" s="48" t="n">
        <v>7.5</v>
      </c>
      <c r="F7" s="247" t="inlineStr">
        <is>
          <t>RO</t>
        </is>
      </c>
      <c r="G7" s="48" t="n"/>
      <c r="H7" s="130" t="inlineStr">
        <is>
          <t>STAT</t>
        </is>
      </c>
      <c r="I7" s="48" t="n"/>
      <c r="J7" s="130" t="inlineStr">
        <is>
          <t>STAT</t>
        </is>
      </c>
      <c r="K7" s="48" t="n"/>
      <c r="L7" s="247" t="inlineStr">
        <is>
          <t>Off</t>
        </is>
      </c>
      <c r="M7" s="48" t="inlineStr">
        <is>
          <t>Off</t>
        </is>
      </c>
      <c r="N7" s="50" t="inlineStr">
        <is>
          <t>RO</t>
        </is>
      </c>
      <c r="O7" s="240" t="n"/>
      <c r="P7" s="3">
        <f>SUM(O7,M7,K7,I7,G7,E7,C7)</f>
        <v/>
      </c>
    </row>
    <row r="8" ht="16" customHeight="1">
      <c r="A8" s="163" t="inlineStr">
        <is>
          <t>Kavya</t>
        </is>
      </c>
      <c r="B8" s="48" t="inlineStr">
        <is>
          <t xml:space="preserve">8a-4p f9 </t>
        </is>
      </c>
      <c r="C8" s="48" t="n">
        <v>7.5</v>
      </c>
      <c r="D8" s="48" t="inlineStr">
        <is>
          <t xml:space="preserve">8a-4p f9 </t>
        </is>
      </c>
      <c r="E8" s="48" t="n">
        <v>7.5</v>
      </c>
      <c r="F8" s="48" t="inlineStr">
        <is>
          <t xml:space="preserve">8a-4p f9 </t>
        </is>
      </c>
      <c r="G8" s="48" t="n">
        <v>7.5</v>
      </c>
      <c r="H8" s="197" t="n"/>
      <c r="I8" s="48" t="n"/>
      <c r="J8" s="197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32" customHeight="1">
      <c r="A9" s="163" t="inlineStr">
        <is>
          <t>Osmaro</t>
        </is>
      </c>
      <c r="B9" s="248" t="inlineStr">
        <is>
          <t>9a-6p set-up new campus</t>
        </is>
      </c>
      <c r="C9" s="48" t="n">
        <v>8.5</v>
      </c>
      <c r="D9" s="248" t="inlineStr">
        <is>
          <t>8a-6p set-up new campus</t>
        </is>
      </c>
      <c r="E9" s="48" t="n">
        <v>8.5</v>
      </c>
      <c r="F9" s="168" t="inlineStr">
        <is>
          <t>RO</t>
        </is>
      </c>
      <c r="G9" s="48" t="n"/>
      <c r="H9" s="242" t="n"/>
      <c r="I9" s="48" t="n"/>
      <c r="J9" s="242" t="n"/>
      <c r="K9" s="48" t="n"/>
      <c r="L9" s="48" t="inlineStr">
        <is>
          <t>RO</t>
        </is>
      </c>
      <c r="M9" s="48" t="n"/>
      <c r="N9" s="48" t="inlineStr">
        <is>
          <t>RO</t>
        </is>
      </c>
      <c r="O9" s="18" t="n"/>
      <c r="P9" s="3">
        <f>SUM(O9,M9,K9,I9,G9,E9,C9)</f>
        <v/>
      </c>
    </row>
    <row r="10" ht="48" customHeight="1">
      <c r="A10" s="163" t="inlineStr">
        <is>
          <t>Chinnesha</t>
        </is>
      </c>
      <c r="B10" s="165" t="inlineStr">
        <is>
          <t>11a-7p f9 CC &amp; close campus</t>
        </is>
      </c>
      <c r="C10" s="48" t="n">
        <v>7.5</v>
      </c>
      <c r="D10" s="165" t="inlineStr">
        <is>
          <t>11a-7p f9 CC &amp; close campus</t>
        </is>
      </c>
      <c r="E10" s="48" t="n">
        <v>7.5</v>
      </c>
      <c r="F10" s="165" t="inlineStr">
        <is>
          <t>11a-7p f9 CC &amp; close campus B@3pm</t>
        </is>
      </c>
      <c r="G10" s="48" t="n">
        <v>7.5</v>
      </c>
      <c r="H10" s="197" t="n"/>
      <c r="I10" s="48" t="n"/>
      <c r="J10" s="197" t="n"/>
      <c r="K10" s="48" t="n"/>
      <c r="L10" s="165" t="inlineStr">
        <is>
          <t>CC 8a-5pm f9 open/close old campus</t>
        </is>
      </c>
      <c r="M10" s="48" t="n">
        <v>8.5</v>
      </c>
      <c r="N10" s="48" t="n"/>
      <c r="O10" s="18" t="n"/>
      <c r="P10" s="3">
        <f>SUM(O10,M10,K10,I10,G10,E10,C10)</f>
        <v/>
      </c>
    </row>
    <row r="11" ht="16" customHeight="1">
      <c r="A11" s="128" t="inlineStr">
        <is>
          <t>Taran</t>
        </is>
      </c>
      <c r="B11" s="245" t="inlineStr">
        <is>
          <t xml:space="preserve">9a-5pm new campus </t>
        </is>
      </c>
      <c r="C11" s="48" t="n">
        <v>7.5</v>
      </c>
      <c r="D11" s="245" t="inlineStr">
        <is>
          <t xml:space="preserve">9a-7pm new campus </t>
        </is>
      </c>
      <c r="E11" s="48" t="n">
        <v>9.5</v>
      </c>
      <c r="F11" s="245" t="inlineStr">
        <is>
          <t xml:space="preserve">8a-5pm new campus </t>
        </is>
      </c>
      <c r="G11" s="48" t="n">
        <v>8.5</v>
      </c>
      <c r="H11" s="130" t="n"/>
      <c r="I11" s="48" t="n"/>
      <c r="J11" s="130" t="n"/>
      <c r="K11" s="48" t="n"/>
      <c r="L11" s="48" t="n"/>
      <c r="M11" s="48" t="n"/>
      <c r="N11" s="50" t="n"/>
      <c r="O11" s="240" t="n"/>
      <c r="P11" s="3">
        <f>SUM(O11,M11,K11,I11,G11,E11,C11)</f>
        <v/>
      </c>
    </row>
    <row r="12" ht="16" customHeight="1">
      <c r="A12" s="163" t="inlineStr">
        <is>
          <t>Karan</t>
        </is>
      </c>
      <c r="B12" s="245" t="inlineStr">
        <is>
          <t xml:space="preserve">9a-5pm new campus </t>
        </is>
      </c>
      <c r="C12" s="48" t="n">
        <v>7.5</v>
      </c>
      <c r="D12" s="245" t="inlineStr">
        <is>
          <t xml:space="preserve">11a-7pm new campus </t>
        </is>
      </c>
      <c r="E12" s="48" t="n">
        <v>7.5</v>
      </c>
      <c r="F12" s="245" t="inlineStr">
        <is>
          <t xml:space="preserve">8a-5pm new campus </t>
        </is>
      </c>
      <c r="G12" s="48" t="n">
        <v>8.5</v>
      </c>
      <c r="H12" s="130" t="n"/>
      <c r="I12" s="48" t="n"/>
      <c r="J12" s="130" t="n"/>
      <c r="K12" s="48" t="n"/>
      <c r="L12" s="247" t="inlineStr">
        <is>
          <t>9-5 old campus</t>
        </is>
      </c>
      <c r="M12" s="48" t="n">
        <v>7.5</v>
      </c>
      <c r="N12" s="245" t="n"/>
      <c r="O12" s="18" t="n"/>
      <c r="P12" s="3">
        <f>SUM(O12,M12,K12,I12,G12,E12,C12)</f>
        <v/>
      </c>
    </row>
    <row r="13" ht="16" customHeight="1">
      <c r="A13" s="128" t="inlineStr">
        <is>
          <t>Marina</t>
        </is>
      </c>
      <c r="B13" s="251" t="n"/>
      <c r="C13" s="38" t="n"/>
      <c r="D13" s="251" t="n"/>
      <c r="E13" s="38" t="n"/>
      <c r="F13" s="243" t="n"/>
      <c r="G13" s="38" t="n"/>
      <c r="H13" s="38" t="n"/>
      <c r="I13" s="38" t="n"/>
      <c r="J13" s="38" t="n"/>
      <c r="K13" s="38" t="n"/>
      <c r="L13" s="38" t="n"/>
      <c r="M13" s="244" t="n"/>
      <c r="N13" s="38" t="n"/>
      <c r="O13" s="18" t="n"/>
      <c r="P13" s="3">
        <f>SUM(O13,M13,K13,I13,G13,E13,C13)</f>
        <v/>
      </c>
    </row>
    <row r="14" ht="32" customHeight="1">
      <c r="A14" s="163" t="inlineStr">
        <is>
          <t>Anastasia TR</t>
        </is>
      </c>
      <c r="B14" s="165" t="inlineStr">
        <is>
          <t>CC TRAIN 11a-7p w Chinnesha</t>
        </is>
      </c>
      <c r="C14" s="48" t="n">
        <v>7.5</v>
      </c>
      <c r="D14" s="165" t="inlineStr">
        <is>
          <t>CC TRAIN 11a-7p w Chinnesha</t>
        </is>
      </c>
      <c r="E14" s="48" t="n">
        <v>7.5</v>
      </c>
      <c r="F14" s="165" t="inlineStr">
        <is>
          <t>CC TRAIN 11a-7p w Chinnesha</t>
        </is>
      </c>
      <c r="G14" s="48" t="n">
        <v>7.5</v>
      </c>
      <c r="H14" s="130" t="n"/>
      <c r="I14" s="48" t="n"/>
      <c r="J14" s="130" t="n"/>
      <c r="K14" s="48" t="n"/>
      <c r="L14" s="48" t="inlineStr">
        <is>
          <t xml:space="preserve">OFF </t>
        </is>
      </c>
      <c r="M14" s="47" t="n">
        <v>0</v>
      </c>
      <c r="N14" s="48" t="n"/>
      <c r="O14" s="47" t="n"/>
      <c r="P14" s="3">
        <f>SUM(O14,M14,K14,I14,G14,E14,C14)</f>
        <v/>
      </c>
    </row>
    <row r="15" ht="32" customFormat="1" customHeight="1" s="241">
      <c r="A15" s="163" t="inlineStr">
        <is>
          <t>Viviana</t>
        </is>
      </c>
      <c r="B15" s="224" t="inlineStr">
        <is>
          <t>2p-5pm new campus</t>
        </is>
      </c>
      <c r="C15" s="48" t="n">
        <v>3</v>
      </c>
      <c r="D15" s="224" t="inlineStr">
        <is>
          <t>Sick</t>
        </is>
      </c>
      <c r="E15" s="48" t="n"/>
      <c r="F15" s="227" t="inlineStr">
        <is>
          <t>SICK</t>
        </is>
      </c>
      <c r="G15" s="48" t="n"/>
      <c r="H15" s="226" t="n"/>
      <c r="I15" s="48" t="n"/>
      <c r="J15" s="214" t="n"/>
      <c r="K15" s="48" t="n"/>
      <c r="L15" s="227" t="inlineStr">
        <is>
          <t>CC WFH OR 80 Bloor 11a-7pm</t>
        </is>
      </c>
      <c r="M15" s="48" t="n">
        <v>7.5</v>
      </c>
      <c r="N15" s="245" t="n"/>
      <c r="O15" s="18" t="n"/>
      <c r="P15" s="3">
        <f>SUM(O15,M15,K15,I15,G15,E15,C15)</f>
        <v/>
      </c>
    </row>
    <row r="16" ht="48" customHeight="1">
      <c r="A16" s="163" t="inlineStr">
        <is>
          <t xml:space="preserve">Iqra </t>
        </is>
      </c>
      <c r="B16" s="56" t="inlineStr">
        <is>
          <t>8a-1pm CC wfh</t>
        </is>
      </c>
      <c r="C16" s="48" t="n">
        <v>5</v>
      </c>
      <c r="D16" s="56" t="inlineStr">
        <is>
          <t>8a-1pm CC 80 bloor/ B@1pm/ 1:30-6 help Aashima</t>
        </is>
      </c>
      <c r="E16" s="48" t="n">
        <v>9.5</v>
      </c>
      <c r="F16" s="48" t="inlineStr">
        <is>
          <t>8a-1pm CC f9 /B@1/ 1:30-5pm New Campus</t>
        </is>
      </c>
      <c r="G16" s="48" t="n">
        <v>8.5</v>
      </c>
      <c r="H16" s="242" t="n"/>
      <c r="I16" s="48" t="n"/>
      <c r="J16" s="242" t="n"/>
      <c r="K16" s="48" t="n"/>
      <c r="L16" s="48" t="inlineStr">
        <is>
          <t xml:space="preserve">CC 8a-1pm old campus </t>
        </is>
      </c>
      <c r="M16" s="48" t="n">
        <v>5</v>
      </c>
      <c r="N16" s="48" t="n"/>
      <c r="O16" s="18" t="n"/>
      <c r="P16" s="3">
        <f>SUM(O16,M16,K16,I16,G16,E16,C16)</f>
        <v/>
      </c>
    </row>
    <row r="17" ht="16" customHeight="1">
      <c r="A17" s="128" t="inlineStr">
        <is>
          <t>Sagar - Intern wk4</t>
        </is>
      </c>
      <c r="B17" s="245" t="inlineStr">
        <is>
          <t>9-5 w Pablo</t>
        </is>
      </c>
      <c r="C17" s="48" t="n">
        <v>7.5</v>
      </c>
      <c r="D17" s="245" t="inlineStr">
        <is>
          <t>9-7p w new campus</t>
        </is>
      </c>
      <c r="E17" s="48" t="n">
        <v>9.5</v>
      </c>
      <c r="F17" s="245" t="inlineStr">
        <is>
          <t xml:space="preserve">8a-5pm new campus </t>
        </is>
      </c>
      <c r="G17" s="48" t="n">
        <v>8.5</v>
      </c>
      <c r="H17" s="242" t="n"/>
      <c r="I17" s="48" t="n"/>
      <c r="J17" s="242" t="n"/>
      <c r="K17" s="48" t="n"/>
      <c r="L17" s="245" t="inlineStr">
        <is>
          <t xml:space="preserve">OFF </t>
        </is>
      </c>
      <c r="M17" s="48" t="n">
        <v>0</v>
      </c>
      <c r="N17" s="245" t="n"/>
      <c r="O17" s="18" t="n"/>
      <c r="P17" s="3">
        <f>SUM(O17,M17,K17,I17,G17,E17,C17)</f>
        <v/>
      </c>
    </row>
    <row r="18" ht="32" customHeight="1">
      <c r="A18" s="45" t="inlineStr">
        <is>
          <t>Francisco</t>
        </is>
      </c>
      <c r="B18" s="82" t="inlineStr">
        <is>
          <t>Help Aashima at old campus 9a-5p</t>
        </is>
      </c>
      <c r="C18" s="18" t="n">
        <v>7.5</v>
      </c>
      <c r="D18" s="245" t="inlineStr">
        <is>
          <t>9-7p w new campus</t>
        </is>
      </c>
      <c r="E18" s="48" t="n">
        <v>9.5</v>
      </c>
      <c r="F18" s="245" t="inlineStr">
        <is>
          <t xml:space="preserve">8a-5pm new campus </t>
        </is>
      </c>
      <c r="G18" s="48" t="n">
        <v>8.5</v>
      </c>
      <c r="H18" s="82" t="n"/>
      <c r="I18" s="18" t="n"/>
      <c r="J18" s="82" t="n"/>
      <c r="K18" s="18" t="n"/>
      <c r="L18" s="245" t="inlineStr">
        <is>
          <t xml:space="preserve">8a-4 old campus </t>
        </is>
      </c>
      <c r="M18" s="51" t="n">
        <v>7.5</v>
      </c>
      <c r="N18" s="245" t="n"/>
      <c r="O18" s="18" t="n"/>
      <c r="P18" s="3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SUM(C6:C18)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SUM(O8:O17)</f>
        <v/>
      </c>
      <c r="P19" s="3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6" customHeight="1" thickBot="1">
      <c r="A22" s="121" t="n"/>
      <c r="B22" s="439" t="inlineStr">
        <is>
          <t>Shifts  Will Vary based on class schedule, business demand, Availability &amp; RO's</t>
        </is>
      </c>
      <c r="C22" s="439" t="n"/>
      <c r="D22" s="121" t="n"/>
    </row>
    <row r="23" ht="20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9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20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20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20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</row>
    <row r="28" ht="3.75" customHeight="1">
      <c r="A28" s="150" t="inlineStr">
        <is>
          <t>12-3p</t>
        </is>
      </c>
      <c r="D28" s="442" t="inlineStr">
        <is>
          <t>first 30 hours IBU Ops</t>
        </is>
      </c>
      <c r="J28" s="443" t="n"/>
    </row>
    <row r="29" ht="19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9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6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/>
  </sheetPr>
  <dimension ref="A1:AD33"/>
  <sheetViews>
    <sheetView zoomScaleNormal="100" workbookViewId="0">
      <selection activeCell="N4" sqref="N4:O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4.5" bestFit="1" customWidth="1" min="7" max="7"/>
    <col width="22.5" customWidth="1" min="8" max="8"/>
    <col width="5.5" bestFit="1" customWidth="1" min="9" max="9"/>
    <col width="21" bestFit="1" customWidth="1" min="10" max="10"/>
    <col width="4.6640625" bestFit="1" customWidth="1" min="11" max="11"/>
    <col width="14.5" bestFit="1" customWidth="1" min="12" max="12"/>
    <col width="5" bestFit="1" customWidth="1" min="13" max="13"/>
    <col width="10.1640625" customWidth="1" min="14" max="14"/>
    <col width="4.6640625" bestFit="1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  <c r="Q1" s="249" t="n"/>
    </row>
    <row r="2">
      <c r="A2" s="4" t="n"/>
      <c r="B2" s="5" t="n">
        <v>46006</v>
      </c>
      <c r="C2" s="6" t="n"/>
      <c r="D2" s="5" t="n">
        <v>46007</v>
      </c>
      <c r="E2" s="6" t="n"/>
      <c r="F2" s="5" t="n">
        <v>46008</v>
      </c>
      <c r="G2" s="6" t="n"/>
      <c r="H2" s="5" t="n">
        <v>46009</v>
      </c>
      <c r="I2" s="6" t="n"/>
      <c r="J2" s="5" t="n">
        <v>46010</v>
      </c>
      <c r="K2" s="6" t="n"/>
      <c r="L2" s="5" t="n">
        <v>46011</v>
      </c>
      <c r="M2" s="6" t="n"/>
      <c r="N2" s="5" t="n">
        <v>46012</v>
      </c>
      <c r="O2" s="7" t="n"/>
      <c r="P2" s="3" t="n"/>
    </row>
    <row r="3" ht="114" customHeight="1">
      <c r="A3" s="8" t="inlineStr">
        <is>
          <t>EVENTS</t>
        </is>
      </c>
      <c r="B3" s="9" t="inlineStr">
        <is>
          <t>Setup - Marc class</t>
        </is>
      </c>
      <c r="C3" s="10" t="n"/>
      <c r="D3" s="254" t="inlineStr">
        <is>
          <t>setup 807 - Dorothy event @10 /Last Day of Class     REGISTRATION   / Aashima CC TRAINING F9 meeting room 2-7p</t>
        </is>
      </c>
      <c r="E3" s="10" t="n"/>
      <c r="F3" s="9" t="inlineStr">
        <is>
          <t>Reading Week                         REGISTRATION</t>
        </is>
      </c>
      <c r="G3" s="11" t="n"/>
      <c r="H3" s="255" t="inlineStr">
        <is>
          <t>Reading Week           / Faculty Orientation 11:30a-12:30p rm 905   / makeup classes see sched                        / REGISTRATION</t>
        </is>
      </c>
      <c r="I3" s="10" t="n"/>
      <c r="J3" s="9" t="inlineStr">
        <is>
          <t>Reading Week                        MOVING      / REGISTRATION</t>
        </is>
      </c>
      <c r="K3" s="10" t="n"/>
      <c r="L3" s="9" t="inlineStr">
        <is>
          <t>Reading Week                        MOVING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7a-5 @655</t>
        </is>
      </c>
      <c r="C4" s="18" t="n">
        <v>10</v>
      </c>
      <c r="D4" s="19" t="inlineStr">
        <is>
          <t>8a-7 @655</t>
        </is>
      </c>
      <c r="E4" s="18" t="n">
        <v>11</v>
      </c>
      <c r="F4" s="16" t="inlineStr">
        <is>
          <t>8a-6:30 @655</t>
        </is>
      </c>
      <c r="G4" s="18" t="n">
        <v>10.5</v>
      </c>
      <c r="H4" s="16" t="inlineStr">
        <is>
          <t>8a-9pm</t>
        </is>
      </c>
      <c r="I4" s="18" t="n">
        <v>13</v>
      </c>
      <c r="J4" s="16" t="inlineStr">
        <is>
          <t>8a-8:30p @655</t>
        </is>
      </c>
      <c r="K4" s="18" t="n">
        <v>12.5</v>
      </c>
      <c r="L4" s="16" t="inlineStr">
        <is>
          <t>8a-1a</t>
        </is>
      </c>
      <c r="M4" s="18" t="n">
        <v>17</v>
      </c>
      <c r="N4" s="16" t="inlineStr">
        <is>
          <t>10a-5p</t>
        </is>
      </c>
      <c r="O4" s="18" t="n">
        <v>7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 offsite</t>
        </is>
      </c>
      <c r="C5" s="24" t="n">
        <v>8</v>
      </c>
      <c r="D5" s="26" t="inlineStr">
        <is>
          <t>11a-7p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OFF</t>
        </is>
      </c>
      <c r="K5" s="24" t="n">
        <v>8</v>
      </c>
      <c r="L5" s="24" t="inlineStr">
        <is>
          <t>8a-8pm 80 Bloor</t>
        </is>
      </c>
      <c r="M5" s="95" t="n">
        <v>12</v>
      </c>
      <c r="N5" s="24" t="n"/>
      <c r="O5" s="18" t="n"/>
      <c r="P5" s="3">
        <f>SUM(O5,M5,K5,I5,G5,E5,C5)</f>
        <v/>
      </c>
    </row>
    <row r="6" ht="16" customFormat="1" customHeight="1" s="233">
      <c r="A6" s="128" t="inlineStr">
        <is>
          <t>SOHAN last day</t>
        </is>
      </c>
      <c r="B6" s="18" t="inlineStr">
        <is>
          <t>9a-2p offsite</t>
        </is>
      </c>
      <c r="C6" s="48" t="n">
        <v>5</v>
      </c>
      <c r="D6" s="231" t="n"/>
      <c r="E6" s="38" t="n"/>
      <c r="F6" s="38" t="n"/>
      <c r="G6" s="38" t="n"/>
      <c r="H6" s="38" t="n"/>
      <c r="I6" s="38" t="n"/>
      <c r="J6" s="38" t="n"/>
      <c r="K6" s="38" t="n"/>
      <c r="L6" s="38" t="n"/>
      <c r="M6" s="232" t="n"/>
      <c r="N6" s="48" t="n"/>
      <c r="O6" s="18" t="n"/>
      <c r="P6" s="3">
        <f>SUM(O6,M6,K6,I6,G6,E6,C6)</f>
        <v/>
      </c>
    </row>
    <row r="7" ht="16" customHeight="1">
      <c r="A7" s="163" t="inlineStr">
        <is>
          <t>Daria</t>
        </is>
      </c>
      <c r="B7" s="48" t="inlineStr">
        <is>
          <t>RO</t>
        </is>
      </c>
      <c r="C7" s="48" t="n"/>
      <c r="D7" s="48" t="inlineStr">
        <is>
          <t>RO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18" t="n"/>
      <c r="P7" s="3">
        <f>SUM(O7,M7,K7,I7,G7,E7,C7)</f>
        <v/>
      </c>
    </row>
    <row r="8" ht="32" customHeight="1">
      <c r="A8" s="163" t="inlineStr">
        <is>
          <t>Pablo</t>
        </is>
      </c>
      <c r="B8" s="48" t="inlineStr">
        <is>
          <t>9a-5pm offsite</t>
        </is>
      </c>
      <c r="C8" s="48" t="n">
        <v>7.5</v>
      </c>
      <c r="D8" s="48" t="n"/>
      <c r="E8" s="48" t="n"/>
      <c r="F8" s="45" t="n"/>
      <c r="G8" s="48" t="n"/>
      <c r="H8" s="48" t="inlineStr">
        <is>
          <t>9a-5p PREP MOVE (11a-1p event)</t>
        </is>
      </c>
      <c r="I8" s="48" t="n">
        <v>7.5</v>
      </c>
      <c r="J8" s="247" t="inlineStr">
        <is>
          <t>9a-5 PREP MOVE</t>
        </is>
      </c>
      <c r="K8" s="48" t="n">
        <v>7.5</v>
      </c>
      <c r="L8" s="245" t="inlineStr">
        <is>
          <t>8a-8</t>
        </is>
      </c>
      <c r="M8" s="48" t="n">
        <v>12</v>
      </c>
      <c r="N8" s="250" t="inlineStr">
        <is>
          <t>8p-1a owed</t>
        </is>
      </c>
      <c r="O8" s="48" t="n">
        <v>5</v>
      </c>
      <c r="P8" s="3">
        <f>SUM(O8,M8,K8,I8,G8,E8,C8)</f>
        <v/>
      </c>
    </row>
    <row r="9" ht="32" customHeight="1">
      <c r="A9" s="163" t="inlineStr">
        <is>
          <t>Kavya</t>
        </is>
      </c>
      <c r="B9" s="48" t="inlineStr">
        <is>
          <t>8a-1p f9</t>
        </is>
      </c>
      <c r="C9" s="48" t="n">
        <v>5</v>
      </c>
      <c r="D9" s="164" t="inlineStr">
        <is>
          <t>8a-12:30p f9 B@12:30/ 1-6 f8</t>
        </is>
      </c>
      <c r="E9" s="48" t="n">
        <v>9.5</v>
      </c>
      <c r="F9" s="60" t="inlineStr">
        <is>
          <t>8a-4p CC f8 B@1</t>
        </is>
      </c>
      <c r="G9" s="18" t="n">
        <v>7.5</v>
      </c>
      <c r="H9" s="60" t="n"/>
      <c r="I9" s="48" t="n"/>
      <c r="J9" s="165" t="inlineStr">
        <is>
          <t>8a-3p CC f9 B@12:30</t>
        </is>
      </c>
      <c r="K9" s="48" t="n">
        <v>6.5</v>
      </c>
      <c r="L9" s="38" t="n"/>
      <c r="M9" s="47" t="n"/>
      <c r="N9" s="48" t="n"/>
      <c r="O9" s="18" t="n"/>
      <c r="P9" s="3">
        <f>SUM(O9,M9,K9,I9,G9,E9,C9)</f>
        <v/>
      </c>
    </row>
    <row r="10" ht="32" customHeight="1">
      <c r="A10" s="163" t="inlineStr">
        <is>
          <t>Osmaro</t>
        </is>
      </c>
      <c r="B10" s="135" t="inlineStr">
        <is>
          <t>1p-7p f9</t>
        </is>
      </c>
      <c r="C10" s="48" t="n">
        <v>5.5</v>
      </c>
      <c r="D10" s="157" t="inlineStr">
        <is>
          <t>CC12:30p-7p f9</t>
        </is>
      </c>
      <c r="E10" s="48" t="n">
        <v>6</v>
      </c>
      <c r="F10" s="221" t="inlineStr">
        <is>
          <t>2p-6p prep movef12 / 6-7 close</t>
        </is>
      </c>
      <c r="G10" s="48" t="n">
        <v>5</v>
      </c>
      <c r="H10" s="216" t="inlineStr">
        <is>
          <t>CC 12:30p-7p f9 B@3:30</t>
        </is>
      </c>
      <c r="I10" s="48" t="n">
        <v>6</v>
      </c>
      <c r="J10" s="216" t="inlineStr">
        <is>
          <t>CC 12:30p-7p f9 B@3:30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32" customHeight="1">
      <c r="A11" s="163" t="inlineStr">
        <is>
          <t>Chinnesha</t>
        </is>
      </c>
      <c r="B11" s="196" t="inlineStr">
        <is>
          <t>11a-7p f12 B@3:30</t>
        </is>
      </c>
      <c r="C11" s="48" t="n">
        <v>7.5</v>
      </c>
      <c r="D11" s="133" t="n"/>
      <c r="E11" s="48" t="n"/>
      <c r="F11" s="60" t="n"/>
      <c r="G11" s="48" t="n"/>
      <c r="H11" s="60" t="inlineStr">
        <is>
          <t>8a-6p CC f8 B@1</t>
        </is>
      </c>
      <c r="I11" s="48" t="n">
        <v>9.5</v>
      </c>
      <c r="J11" s="60" t="n"/>
      <c r="K11" s="48" t="n"/>
      <c r="L11" s="56" t="inlineStr">
        <is>
          <t>11a-7p CC f9 Close campus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8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8a-11a f9/ B@11/ 11:30-4p registration (if slow help prep M)</t>
        </is>
      </c>
      <c r="G12" s="48" t="n">
        <v>7.5</v>
      </c>
      <c r="H12" s="48" t="inlineStr">
        <is>
          <t>8a-12:30p f9/ B@12:30 1-4p registration (if slow prep M)</t>
        </is>
      </c>
      <c r="I12" s="48" t="n">
        <v>7.5</v>
      </c>
      <c r="J12" s="48" t="inlineStr">
        <is>
          <t>8a-12:30 f9/ move &amp; regist 1-5</t>
        </is>
      </c>
      <c r="K12" s="48" t="n">
        <v>7.5</v>
      </c>
      <c r="L12" s="240" t="inlineStr">
        <is>
          <t>8a-8p</t>
        </is>
      </c>
      <c r="M12" s="48" t="n">
        <v>12</v>
      </c>
      <c r="N12" s="48" t="inlineStr">
        <is>
          <t>8p-1a owed</t>
        </is>
      </c>
      <c r="O12" s="18" t="n">
        <v>5</v>
      </c>
      <c r="P12" s="3">
        <f>SUM(O12,M12,K12,I12,G12,E12,C12)</f>
        <v/>
      </c>
    </row>
    <row r="13" ht="32" customHeight="1">
      <c r="A13" s="163" t="inlineStr">
        <is>
          <t>Karan</t>
        </is>
      </c>
      <c r="B13" s="196" t="inlineStr">
        <is>
          <t>ccf12 8a-4p f12</t>
        </is>
      </c>
      <c r="C13" s="48" t="n">
        <v>7.5</v>
      </c>
      <c r="D13" s="196" t="inlineStr">
        <is>
          <t>ccf12 8a-4p f12</t>
        </is>
      </c>
      <c r="E13" s="48" t="n">
        <v>7.5</v>
      </c>
      <c r="F13" s="196" t="inlineStr">
        <is>
          <t>11a-7p f9 B@3:30</t>
        </is>
      </c>
      <c r="G13" s="48" t="n">
        <v>7.5</v>
      </c>
      <c r="H13" s="56" t="n"/>
      <c r="I13" s="48" t="n"/>
      <c r="J13" s="196" t="inlineStr">
        <is>
          <t xml:space="preserve">9:20am-(brk 1hr- 20min) 5pm new campus </t>
        </is>
      </c>
      <c r="K13" s="48" t="n">
        <v>6.25</v>
      </c>
      <c r="L13" s="56" t="inlineStr">
        <is>
          <t>9am-8p</t>
        </is>
      </c>
      <c r="M13" s="47" t="n">
        <v>11</v>
      </c>
      <c r="N13" s="48" t="inlineStr">
        <is>
          <t>8p-1a owed</t>
        </is>
      </c>
      <c r="O13" s="18" t="n">
        <v>5</v>
      </c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36" t="inlineStr">
        <is>
          <t>8a-11a f8</t>
        </is>
      </c>
      <c r="C14" s="48" t="n">
        <v>3</v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Leonardo</t>
        </is>
      </c>
      <c r="B15" s="48" t="inlineStr">
        <is>
          <t>11a-6p f8</t>
        </is>
      </c>
      <c r="C15" s="48" t="n">
        <v>6.5</v>
      </c>
      <c r="D15" s="164" t="inlineStr">
        <is>
          <t>8a-1p f8</t>
        </is>
      </c>
      <c r="E15" s="48" t="n">
        <v>5</v>
      </c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16" customHeight="1">
      <c r="A16" s="223" t="inlineStr">
        <is>
          <t>Anastasia TRAINING 1</t>
        </is>
      </c>
      <c r="B16" s="36" t="inlineStr">
        <is>
          <t>8a-11a w fran @655</t>
        </is>
      </c>
      <c r="C16" s="48" t="n">
        <v>3</v>
      </c>
      <c r="D16" s="234" t="inlineStr">
        <is>
          <t>2p-7p f9 meetingR</t>
        </is>
      </c>
      <c r="E16" s="48" t="n">
        <v>5</v>
      </c>
      <c r="F16" s="56" t="inlineStr">
        <is>
          <t>CC 8a-4p f8 TR / 4p-6p f8</t>
        </is>
      </c>
      <c r="G16" s="48" t="n">
        <v>9.5</v>
      </c>
      <c r="H16" s="56" t="inlineStr">
        <is>
          <t>CC 8a-4p f8 TR</t>
        </is>
      </c>
      <c r="I16" s="48" t="n">
        <v>9.5</v>
      </c>
      <c r="J16" s="48" t="n"/>
      <c r="K16" s="48" t="n"/>
      <c r="L16" s="129" t="n"/>
      <c r="M16" s="48" t="n"/>
      <c r="N16" s="48" t="n"/>
      <c r="O16" s="18" t="n"/>
      <c r="P16" s="3">
        <f>SUM(O16,M16,K16,I16,G16,E16,C16)</f>
        <v/>
      </c>
    </row>
    <row r="17" ht="16" customHeight="1">
      <c r="A17" s="223" t="inlineStr">
        <is>
          <t>Viviana TRAINING 3</t>
        </is>
      </c>
      <c r="B17" s="235" t="inlineStr">
        <is>
          <t>CC 2-7p f12</t>
        </is>
      </c>
      <c r="C17" s="48" t="n">
        <v>5</v>
      </c>
      <c r="D17" s="236" t="inlineStr">
        <is>
          <t>2p-7p f9 meetingR</t>
        </is>
      </c>
      <c r="E17" s="48" t="n">
        <v>5</v>
      </c>
      <c r="F17" s="235" t="n"/>
      <c r="G17" s="48" t="n"/>
      <c r="H17" s="235" t="n"/>
      <c r="I17" s="48" t="n"/>
      <c r="J17" s="235" t="inlineStr">
        <is>
          <t>CC  3p-7p f8</t>
        </is>
      </c>
      <c r="K17" s="48" t="n">
        <v>4</v>
      </c>
      <c r="L17" s="60" t="inlineStr">
        <is>
          <t>Sick</t>
        </is>
      </c>
      <c r="M17" s="48" t="n"/>
      <c r="N17" s="245" t="inlineStr">
        <is>
          <t>sick</t>
        </is>
      </c>
      <c r="O17" s="48" t="n"/>
      <c r="P17" s="3">
        <f>SUM(O17,M17,K17,I17,G17,E17,C17)</f>
        <v/>
      </c>
    </row>
    <row r="18" ht="48" customHeight="1">
      <c r="A18" s="223" t="inlineStr">
        <is>
          <t>Iqra TRAINING 3</t>
        </is>
      </c>
      <c r="B18" s="237" t="inlineStr">
        <is>
          <t>8a-1p f9 TR desk</t>
        </is>
      </c>
      <c r="C18" s="48" t="n">
        <v>5</v>
      </c>
      <c r="D18" s="234" t="inlineStr">
        <is>
          <t>2p-7p f9 meetingR</t>
        </is>
      </c>
      <c r="E18" s="48" t="n">
        <v>5</v>
      </c>
      <c r="F18" s="38" t="n"/>
      <c r="G18" s="48" t="n"/>
      <c r="H18" s="239" t="inlineStr">
        <is>
          <t>8a-1pm TR desk F9</t>
        </is>
      </c>
      <c r="I18" s="48" t="n">
        <v>5</v>
      </c>
      <c r="J18" s="36" t="inlineStr">
        <is>
          <t>RO</t>
        </is>
      </c>
      <c r="K18" s="48" t="n"/>
      <c r="L18" s="36" t="inlineStr">
        <is>
          <t>RO</t>
        </is>
      </c>
      <c r="M18" s="48" t="n"/>
      <c r="N18" s="245" t="inlineStr">
        <is>
          <t>11a-4p NEW CAMPUS</t>
        </is>
      </c>
      <c r="O18" s="48" t="n">
        <v>5</v>
      </c>
      <c r="P18" s="3">
        <f>SUM(O18,M18,K18,I18,G18,E18,C18)</f>
        <v/>
      </c>
    </row>
    <row r="19" ht="32" customHeight="1">
      <c r="A19" s="128" t="inlineStr">
        <is>
          <t>Sagar - Intern wk3</t>
        </is>
      </c>
      <c r="B19" s="221" t="n"/>
      <c r="C19" s="48" t="n"/>
      <c r="D19" s="237" t="inlineStr">
        <is>
          <t>1p-6p tr f9</t>
        </is>
      </c>
      <c r="E19" s="48" t="n">
        <v>5</v>
      </c>
      <c r="F19" s="48" t="inlineStr">
        <is>
          <t>8a-12:30p f9 TR</t>
        </is>
      </c>
      <c r="G19" s="48" t="n">
        <v>4.5</v>
      </c>
      <c r="H19" s="169" t="inlineStr">
        <is>
          <t>9-3pm w Pablo</t>
        </is>
      </c>
      <c r="I19" s="48" t="n">
        <v>5.5</v>
      </c>
      <c r="J19" s="48" t="inlineStr">
        <is>
          <t>8a-5pm prep old campus</t>
        </is>
      </c>
      <c r="K19" s="48" t="n">
        <v>8.5</v>
      </c>
      <c r="L19" s="247" t="inlineStr">
        <is>
          <t>8a-7pm</t>
        </is>
      </c>
      <c r="M19" s="51" t="n">
        <v>11</v>
      </c>
      <c r="N19" s="245" t="inlineStr">
        <is>
          <t>7p-11p owed</t>
        </is>
      </c>
      <c r="O19" s="48" t="n">
        <v>3</v>
      </c>
      <c r="P19" s="3">
        <f>SUM(O19,M19,K19,I19,G19,E19,C19)</f>
        <v/>
      </c>
    </row>
    <row r="20" ht="32" customHeight="1">
      <c r="A20" s="45" t="inlineStr">
        <is>
          <t>Francisco</t>
        </is>
      </c>
      <c r="B20" s="16" t="inlineStr">
        <is>
          <t>8a-12p f10/ 4-7p f10</t>
        </is>
      </c>
      <c r="C20" s="18" t="n">
        <v>7</v>
      </c>
      <c r="D20" s="143" t="inlineStr">
        <is>
          <t>12p-7p f10</t>
        </is>
      </c>
      <c r="E20" s="18" t="n">
        <v>6.5</v>
      </c>
      <c r="F20" s="85" t="n"/>
      <c r="G20" s="18" t="n"/>
      <c r="H20" s="45" t="inlineStr">
        <is>
          <t xml:space="preserve">11a-6p prep move </t>
        </is>
      </c>
      <c r="I20" s="48" t="n">
        <v>6.5</v>
      </c>
      <c r="J20" s="82" t="n"/>
      <c r="K20" s="18" t="n"/>
      <c r="L20" s="247" t="inlineStr">
        <is>
          <t>8a-7pm (1 HR BREAK)</t>
        </is>
      </c>
      <c r="M20" s="51" t="n">
        <v>11</v>
      </c>
      <c r="N20" s="245" t="inlineStr">
        <is>
          <t>7p-11p owed</t>
        </is>
      </c>
      <c r="O20" s="48" t="n">
        <v>3</v>
      </c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SUM(C7:C20)</f>
        <v/>
      </c>
      <c r="D21" s="3" t="n"/>
      <c r="E21" s="3">
        <f>SUM(E7:E20)</f>
        <v/>
      </c>
      <c r="F21" s="3" t="n"/>
      <c r="G21" s="3">
        <f>SUM(G7:G20)</f>
        <v/>
      </c>
      <c r="H21" s="3" t="n"/>
      <c r="I21" s="3">
        <f>SUM(I7:I20)</f>
        <v/>
      </c>
      <c r="J21" s="3" t="n"/>
      <c r="K21" s="3">
        <f>SUM(K7:K20)</f>
        <v/>
      </c>
      <c r="L21" s="3" t="n"/>
      <c r="M21" s="3">
        <f>SUM(M7:M20)</f>
        <v/>
      </c>
      <c r="N21" s="3" t="n"/>
      <c r="O21" s="3">
        <f>SUM(O10:O19)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="70" zoomScaleNormal="70" workbookViewId="0">
      <selection activeCell="N4" sqref="N4:O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6.5" customWidth="1" min="4" max="4"/>
    <col width="5.5" customWidth="1" min="5" max="5"/>
    <col width="23.6640625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5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45999</v>
      </c>
      <c r="C2" s="6" t="n"/>
      <c r="D2" s="5" t="n">
        <v>46000</v>
      </c>
      <c r="E2" s="6" t="n"/>
      <c r="F2" s="5" t="n">
        <v>46001</v>
      </c>
      <c r="G2" s="6" t="n"/>
      <c r="H2" s="5" t="n">
        <v>46002</v>
      </c>
      <c r="I2" s="6" t="n"/>
      <c r="J2" s="5" t="n">
        <v>46003</v>
      </c>
      <c r="K2" s="6" t="n"/>
      <c r="L2" s="5" t="n">
        <v>46004</v>
      </c>
      <c r="M2" s="6" t="n"/>
      <c r="N2" s="5" t="n">
        <v>46005</v>
      </c>
      <c r="O2" s="7" t="n"/>
      <c r="P2" s="3" t="n"/>
    </row>
    <row r="3" ht="83" customHeight="1">
      <c r="A3" s="8" t="inlineStr">
        <is>
          <t>EVENTS</t>
        </is>
      </c>
      <c r="B3" s="9" t="inlineStr">
        <is>
          <t>REGISTRATION F10</t>
        </is>
      </c>
      <c r="C3" s="10" t="n"/>
      <c r="D3" s="9" t="inlineStr">
        <is>
          <t xml:space="preserve">F10 REGISTRATION           / F10 SET UP CAPSTONE COMP after 3pm  /  Fruit &amp; muffins for 4ppl Career services 10:15AM &amp; 1:45PM </t>
        </is>
      </c>
      <c r="E3" s="10" t="n"/>
      <c r="F3" s="9" t="inlineStr">
        <is>
          <t>Capstone Competition all F10    / CC Judges rm 807  / RIIPEN rm 802        / REGISTRATION F12</t>
        </is>
      </c>
      <c r="G3" s="11" t="n"/>
      <c r="H3" s="92" t="inlineStr">
        <is>
          <t xml:space="preserve">F10 REGISTRATION/  </t>
        </is>
      </c>
      <c r="I3" s="10" t="n"/>
      <c r="J3" s="12" t="inlineStr">
        <is>
          <t xml:space="preserve">F10 REGISTRATION  </t>
        </is>
      </c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10a-1:30p offsite /2-5p ibu/ 9p-3a Law</t>
        </is>
      </c>
      <c r="C4" s="18" t="n">
        <v>13</v>
      </c>
      <c r="D4" s="19" t="inlineStr">
        <is>
          <t>11a-4p</t>
        </is>
      </c>
      <c r="E4" s="18" t="n">
        <v>5</v>
      </c>
      <c r="F4" s="19" t="inlineStr">
        <is>
          <t>8a-6 OFFSITE</t>
        </is>
      </c>
      <c r="G4" s="18" t="n">
        <v>10</v>
      </c>
      <c r="H4" s="19" t="inlineStr">
        <is>
          <t>9a-5 int install</t>
        </is>
      </c>
      <c r="I4" s="18" t="n">
        <v>8</v>
      </c>
      <c r="J4" s="19" t="inlineStr">
        <is>
          <t xml:space="preserve">9a-5p </t>
        </is>
      </c>
      <c r="K4" s="18" t="n">
        <v>8</v>
      </c>
      <c r="L4" s="94" t="inlineStr">
        <is>
          <t>7a-6p @655</t>
        </is>
      </c>
      <c r="M4" s="18" t="n">
        <v>11</v>
      </c>
      <c r="N4" s="94" t="inlineStr">
        <is>
          <t>7a-6p @655</t>
        </is>
      </c>
      <c r="O4" s="18" t="n">
        <v>11</v>
      </c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8a-11a registration/ 11-5p fran</t>
        </is>
      </c>
      <c r="C5" s="24" t="n">
        <v>9</v>
      </c>
      <c r="D5" s="26" t="inlineStr">
        <is>
          <t>8a-10a registration/ 10-3p fran</t>
        </is>
      </c>
      <c r="E5" s="24" t="n">
        <v>7</v>
      </c>
      <c r="F5" s="26" t="inlineStr">
        <is>
          <t>8a-4p</t>
        </is>
      </c>
      <c r="G5" s="24" t="n">
        <v>8</v>
      </c>
      <c r="H5" s="26" t="inlineStr">
        <is>
          <t>TRAINING</t>
        </is>
      </c>
      <c r="I5" s="24" t="n">
        <v>8</v>
      </c>
      <c r="J5" s="26" t="inlineStr">
        <is>
          <t>TRAINING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Daria</t>
        </is>
      </c>
      <c r="B6" s="56" t="inlineStr">
        <is>
          <t>CCf12 11a-7p B@2p</t>
        </is>
      </c>
      <c r="C6" s="48" t="n">
        <v>7.5</v>
      </c>
      <c r="D6" s="48" t="inlineStr">
        <is>
          <t>8a-1p f9/ B@1 / CCf12 1:30-2:30</t>
        </is>
      </c>
      <c r="E6" s="48" t="n">
        <v>6</v>
      </c>
      <c r="F6" s="48" t="inlineStr">
        <is>
          <t>8:30a-11:30a event/ B@11:30/ CC 12-4:30p</t>
        </is>
      </c>
      <c r="G6" s="48" t="n">
        <v>7.5</v>
      </c>
      <c r="H6" s="44" t="inlineStr">
        <is>
          <t>8a-11a HELP f9  manage crowd</t>
        </is>
      </c>
      <c r="I6" s="48" t="n">
        <v>3</v>
      </c>
      <c r="J6" s="48" t="n"/>
      <c r="K6" s="48" t="n"/>
      <c r="L6" s="48" t="inlineStr">
        <is>
          <t>12p-7p f9</t>
        </is>
      </c>
      <c r="M6" s="48" t="n">
        <v>6.5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Pablo</t>
        </is>
      </c>
      <c r="B7" s="38" t="n"/>
      <c r="C7" s="48" t="n"/>
      <c r="D7" s="220" t="inlineStr">
        <is>
          <t>9a-6p registration + capstone set-up</t>
        </is>
      </c>
      <c r="E7" s="220" t="n">
        <v>8.5</v>
      </c>
      <c r="F7" s="220" t="inlineStr">
        <is>
          <t>8a-2:30p EVENT</t>
        </is>
      </c>
      <c r="G7" s="220" t="n">
        <v>6.5</v>
      </c>
      <c r="H7" s="230" t="inlineStr">
        <is>
          <t>CC 9a-4p</t>
        </is>
      </c>
      <c r="I7" s="220" t="n">
        <v>6.5</v>
      </c>
      <c r="J7" s="56" t="inlineStr">
        <is>
          <t>CC wfh 9a-2p</t>
        </is>
      </c>
      <c r="K7" s="48" t="n">
        <v>5</v>
      </c>
      <c r="L7" s="165" t="n"/>
      <c r="M7" s="48" t="n"/>
      <c r="N7" s="48" t="n"/>
      <c r="O7" s="18" t="n"/>
      <c r="P7" s="3">
        <f>SUM(O7,M7,K7,I7,G7,E7,C7)</f>
        <v/>
      </c>
    </row>
    <row r="8" ht="64" customHeight="1">
      <c r="A8" s="163" t="inlineStr">
        <is>
          <t>Kavya</t>
        </is>
      </c>
      <c r="B8" s="164" t="inlineStr">
        <is>
          <t>8a-12:30p f9/ B@12:30/ CC1-2:30 f12/ 2:30-3 f8/ 3-3:30 f9</t>
        </is>
      </c>
      <c r="C8" s="48" t="n">
        <v>7</v>
      </c>
      <c r="D8" s="56" t="inlineStr">
        <is>
          <t>CC f12 11a-7p B@2p</t>
        </is>
      </c>
      <c r="E8" s="48" t="n">
        <v>7.5</v>
      </c>
      <c r="F8" s="16" t="inlineStr">
        <is>
          <t>8a-12p f9 / 4p-7p</t>
        </is>
      </c>
      <c r="G8" s="18" t="n">
        <v>7</v>
      </c>
      <c r="H8" s="157" t="inlineStr">
        <is>
          <t>CC 12p-7p f8 B@2:30</t>
        </is>
      </c>
      <c r="I8" s="48" t="n">
        <v>6.5</v>
      </c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16" customHeight="1">
      <c r="A9" s="163" t="inlineStr">
        <is>
          <t>Osmaro</t>
        </is>
      </c>
      <c r="B9" s="135" t="inlineStr">
        <is>
          <t>12:30p-7p f9 B@3</t>
        </is>
      </c>
      <c r="C9" s="48" t="n">
        <v>6</v>
      </c>
      <c r="D9" s="135" t="inlineStr">
        <is>
          <t>1p-7p f9</t>
        </is>
      </c>
      <c r="E9" s="48" t="n">
        <v>5.5</v>
      </c>
      <c r="F9" s="221" t="inlineStr">
        <is>
          <t>RO</t>
        </is>
      </c>
      <c r="G9" s="48" t="n"/>
      <c r="H9" s="137" t="inlineStr">
        <is>
          <t>RO</t>
        </is>
      </c>
      <c r="I9" s="48" t="n"/>
      <c r="J9" s="135" t="inlineStr">
        <is>
          <t>1p-7p f9</t>
        </is>
      </c>
      <c r="K9" s="48" t="n">
        <v>5.5</v>
      </c>
      <c r="L9" s="48" t="inlineStr">
        <is>
          <t>RO</t>
        </is>
      </c>
      <c r="M9" s="48" t="n"/>
      <c r="N9" s="48" t="n"/>
      <c r="O9" s="18" t="n"/>
      <c r="P9" s="3">
        <f>SUM(O9,M9,K9,I9,G9,E9,C9)</f>
        <v/>
      </c>
    </row>
    <row r="10" ht="32" customHeight="1">
      <c r="A10" s="163" t="inlineStr">
        <is>
          <t>Chinnesha</t>
        </is>
      </c>
      <c r="B10" s="165" t="n"/>
      <c r="C10" s="48" t="n"/>
      <c r="D10" s="133" t="n"/>
      <c r="E10" s="48" t="n"/>
      <c r="F10" s="56" t="inlineStr">
        <is>
          <t>CC f12 12p-7p  B@3p</t>
        </is>
      </c>
      <c r="G10" s="48" t="n">
        <v>6.5</v>
      </c>
      <c r="H10" s="158" t="inlineStr">
        <is>
          <t>CC 8a-3p f12 B@1</t>
        </is>
      </c>
      <c r="I10" s="48" t="n">
        <v>6</v>
      </c>
      <c r="J10" s="56" t="inlineStr">
        <is>
          <t>12p-7p f8 (Iqra to cover break)</t>
        </is>
      </c>
      <c r="K10" s="48" t="n">
        <v>6.5</v>
      </c>
      <c r="L10" s="165" t="inlineStr">
        <is>
          <t>CC 8a-6p f12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32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8a-6p f8</t>
        </is>
      </c>
      <c r="G11" s="48" t="n">
        <v>9.5</v>
      </c>
      <c r="H11" s="155" t="inlineStr">
        <is>
          <t xml:space="preserve">8a-11a f8 11-6p crowd </t>
        </is>
      </c>
      <c r="I11" s="48" t="n">
        <v>9.5</v>
      </c>
      <c r="J11" s="155" t="inlineStr">
        <is>
          <t>8a-12p f8 B@12/ registration f10 12:30-6p</t>
        </is>
      </c>
      <c r="K11" s="48" t="n">
        <v>9.5</v>
      </c>
      <c r="L11" s="38" t="n"/>
      <c r="M11" s="48" t="n"/>
      <c r="N11" s="48" t="n"/>
      <c r="O11" s="18" t="n"/>
      <c r="P11" s="3">
        <f>SUM(O11,M11,K11,I11,G11,E11,C11)</f>
        <v/>
      </c>
    </row>
    <row r="12" ht="16" customHeight="1">
      <c r="A12" s="163" t="inlineStr">
        <is>
          <t>Karan</t>
        </is>
      </c>
      <c r="B12" s="222" t="inlineStr">
        <is>
          <t>CC 8a-12:30p f12</t>
        </is>
      </c>
      <c r="C12" s="48" t="n">
        <v>4.5</v>
      </c>
      <c r="D12" s="222" t="inlineStr">
        <is>
          <t>CC 8a-12p f12</t>
        </is>
      </c>
      <c r="E12" s="48" t="n">
        <v>4</v>
      </c>
      <c r="F12" s="222" t="inlineStr">
        <is>
          <t>CC 8a-12p f12</t>
        </is>
      </c>
      <c r="G12" s="48" t="n">
        <v>4</v>
      </c>
      <c r="H12" s="213" t="n"/>
      <c r="I12" s="48" t="n"/>
      <c r="J12" s="222" t="inlineStr">
        <is>
          <t>CC 8a-12p f12</t>
        </is>
      </c>
      <c r="K12" s="48" t="n">
        <v>4</v>
      </c>
      <c r="L12" s="56" t="inlineStr">
        <is>
          <t>CC 9a-7p f10</t>
        </is>
      </c>
      <c r="M12" s="47" t="n">
        <v>9.5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48" t="inlineStr">
        <is>
          <t>12p-4p f9</t>
        </is>
      </c>
      <c r="G13" s="48" t="n">
        <v>4</v>
      </c>
      <c r="H13" s="48" t="inlineStr">
        <is>
          <t>8a-1p f9</t>
        </is>
      </c>
      <c r="I13" s="48" t="n">
        <v>5</v>
      </c>
      <c r="J13" s="48" t="inlineStr">
        <is>
          <t>8a-1p f9</t>
        </is>
      </c>
      <c r="K13" s="48" t="n">
        <v>5</v>
      </c>
      <c r="L13" s="164" t="inlineStr">
        <is>
          <t xml:space="preserve"> 8a-6p f8</t>
        </is>
      </c>
      <c r="M13" s="48" t="n">
        <v>9.5</v>
      </c>
      <c r="N13" s="48" t="n"/>
      <c r="O13" s="18" t="n"/>
      <c r="P13" s="3">
        <f>SUM(O13,M13,K13,I13,G13,E13,C13)</f>
        <v/>
      </c>
    </row>
    <row r="14" ht="16" customHeight="1">
      <c r="A14" s="128" t="inlineStr">
        <is>
          <t>Leonardo</t>
        </is>
      </c>
      <c r="B14" s="48" t="inlineStr">
        <is>
          <t xml:space="preserve">12p-6p f8 B@2:30 </t>
        </is>
      </c>
      <c r="C14" s="48" t="n">
        <v>5.5</v>
      </c>
      <c r="D14" s="48" t="inlineStr">
        <is>
          <t>8:30a-6p f8</t>
        </is>
      </c>
      <c r="E14" s="48" t="n">
        <v>9</v>
      </c>
      <c r="F14" s="48" t="n"/>
      <c r="G14" s="48" t="n"/>
      <c r="H14" s="137" t="inlineStr">
        <is>
          <t>1p-7p f9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 ht="32" customHeight="1">
      <c r="A15" s="223" t="inlineStr">
        <is>
          <t>Anastasia TRAINING</t>
        </is>
      </c>
      <c r="B15" s="36" t="inlineStr">
        <is>
          <t>8a-9:30 f9 w Kavya/ 9:30-11a registration</t>
        </is>
      </c>
      <c r="C15" s="48" t="n">
        <v>3</v>
      </c>
      <c r="D15" s="220" t="inlineStr">
        <is>
          <t>9a-5p registration + capstone set-up</t>
        </is>
      </c>
      <c r="E15" s="220" t="n">
        <v>7.5</v>
      </c>
      <c r="F15" s="48" t="inlineStr">
        <is>
          <t>8a-12p f9 TR w Kavya</t>
        </is>
      </c>
      <c r="G15" s="48" t="n">
        <v>4</v>
      </c>
      <c r="H15" s="220" t="inlineStr">
        <is>
          <t>9a-5 registration</t>
        </is>
      </c>
      <c r="I15" s="220" t="n">
        <v>7.5</v>
      </c>
      <c r="J15" s="220" t="inlineStr">
        <is>
          <t>9a-5 registration</t>
        </is>
      </c>
      <c r="K15" s="220" t="n">
        <v>7.5</v>
      </c>
      <c r="L15" s="129" t="n"/>
      <c r="M15" s="48" t="n"/>
      <c r="N15" s="48" t="n"/>
      <c r="O15" s="18" t="n"/>
      <c r="P15" s="3">
        <f>SUM(O15,M15,K15,I15,G15,E15,C15)</f>
        <v/>
      </c>
    </row>
    <row r="16" ht="32" customHeight="1">
      <c r="A16" s="223" t="inlineStr">
        <is>
          <t>Viviana TRAINING</t>
        </is>
      </c>
      <c r="B16" s="224" t="n"/>
      <c r="C16" s="48" t="n"/>
      <c r="D16" s="225" t="n"/>
      <c r="E16" s="48" t="n"/>
      <c r="F16" s="229" t="inlineStr">
        <is>
          <t>CC4 p-7p f8 w Chinesha</t>
        </is>
      </c>
      <c r="G16" s="48" t="n">
        <v>3</v>
      </c>
      <c r="H16" s="226" t="n"/>
      <c r="I16" s="48" t="n"/>
      <c r="J16" s="224" t="inlineStr">
        <is>
          <t>2p-7p  f8 w Chinnesha</t>
        </is>
      </c>
      <c r="K16" s="48" t="n">
        <v>5</v>
      </c>
      <c r="L16" s="227" t="inlineStr">
        <is>
          <t>CC 11a-7p f12 w Chinnesha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" customHeight="1">
      <c r="A17" s="223" t="inlineStr">
        <is>
          <t>Iqra TRAINING</t>
        </is>
      </c>
      <c r="B17" s="165" t="inlineStr">
        <is>
          <t>11a-7p f12 w Daria</t>
        </is>
      </c>
      <c r="C17" s="48" t="n">
        <v>7.5</v>
      </c>
      <c r="D17" s="165" t="inlineStr">
        <is>
          <t>11a-7p f12 w Kavya</t>
        </is>
      </c>
      <c r="E17" s="48" t="n">
        <v>7.5</v>
      </c>
      <c r="F17" s="38" t="n"/>
      <c r="G17" s="48" t="n"/>
      <c r="H17" s="226" t="inlineStr">
        <is>
          <t>2p-7p f12 w Kavya</t>
        </is>
      </c>
      <c r="I17" s="48" t="n">
        <v>5</v>
      </c>
      <c r="J17" s="56" t="n"/>
      <c r="K17" s="48" t="n">
        <v>5.5</v>
      </c>
      <c r="L17" s="36" t="n"/>
      <c r="M17" s="48" t="n"/>
      <c r="N17" s="48" t="n"/>
      <c r="O17" s="18" t="n"/>
      <c r="P17" s="3">
        <f>SUM(O17,M17,K17,I17,G17,E17,C17)</f>
        <v/>
      </c>
    </row>
    <row r="18" ht="32" customHeight="1">
      <c r="A18" s="128" t="inlineStr">
        <is>
          <t>Sagar - Intern wk2</t>
        </is>
      </c>
      <c r="B18" s="196" t="n"/>
      <c r="C18" s="48" t="n"/>
      <c r="D18" s="48" t="inlineStr">
        <is>
          <t>8a-1pm IBU ops + registration</t>
        </is>
      </c>
      <c r="E18" s="48" t="n">
        <v>5</v>
      </c>
      <c r="F18" s="48" t="n"/>
      <c r="G18" s="48" t="n"/>
      <c r="H18" s="48" t="inlineStr">
        <is>
          <t>8a-1pm IBU ops + registration</t>
        </is>
      </c>
      <c r="I18" s="48" t="n">
        <v>5</v>
      </c>
      <c r="J18" s="48" t="inlineStr">
        <is>
          <t>8a-1pm IBU ops + registration</t>
        </is>
      </c>
      <c r="K18" s="48" t="n">
        <v>5</v>
      </c>
      <c r="L18" s="48" t="n"/>
      <c r="M18" s="48" t="n"/>
      <c r="N18" s="48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w5</t>
        </is>
      </c>
      <c r="B19" s="172" t="inlineStr">
        <is>
          <t>11a-3p w F/A help registration</t>
        </is>
      </c>
      <c r="C19" s="18" t="n">
        <v>4</v>
      </c>
      <c r="D19" s="82" t="inlineStr">
        <is>
          <t>9a-5p w  F/A help registration</t>
        </is>
      </c>
      <c r="E19" s="18" t="n">
        <v>7.5</v>
      </c>
      <c r="F19" s="82" t="inlineStr">
        <is>
          <t>11a-6p w F/A help reg &amp; comp</t>
        </is>
      </c>
      <c r="G19" s="18" t="n">
        <v>6.5</v>
      </c>
      <c r="H19" s="16" t="inlineStr">
        <is>
          <t>8a-9 ibu ops/ 9a-11 fran</t>
        </is>
      </c>
      <c r="I19" s="18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32" customHeight="1">
      <c r="A20" s="45" t="inlineStr">
        <is>
          <t>Francisco</t>
        </is>
      </c>
      <c r="B20" s="16" t="inlineStr">
        <is>
          <t>8a-11a registration</t>
        </is>
      </c>
      <c r="C20" s="18" t="n">
        <v>3</v>
      </c>
      <c r="D20" s="143" t="inlineStr">
        <is>
          <t>3p-7p set-up</t>
        </is>
      </c>
      <c r="E20" s="18" t="n">
        <v>4</v>
      </c>
      <c r="F20" s="143" t="inlineStr">
        <is>
          <t>3p-7p set-up</t>
        </is>
      </c>
      <c r="G20" s="18" t="n">
        <v>4</v>
      </c>
      <c r="H20" s="82" t="inlineStr">
        <is>
          <t>9:15a-3:15p registration</t>
        </is>
      </c>
      <c r="I20" s="18" t="n">
        <v>5.5</v>
      </c>
      <c r="J20" s="82" t="inlineStr">
        <is>
          <t>8:30a-3p f9 Crowd control</t>
        </is>
      </c>
      <c r="K20" s="18" t="n">
        <v>6</v>
      </c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228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workbookViewId="0">
      <selection activeCell="O8" sqref="O8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45992</v>
      </c>
      <c r="C2" s="6" t="n"/>
      <c r="D2" s="5" t="n">
        <v>45993</v>
      </c>
      <c r="E2" s="6" t="n"/>
      <c r="F2" s="5" t="n">
        <v>45994</v>
      </c>
      <c r="G2" s="6" t="n"/>
      <c r="H2" s="5" t="n">
        <v>45995</v>
      </c>
      <c r="I2" s="6" t="n"/>
      <c r="J2" s="5" t="n">
        <v>45996</v>
      </c>
      <c r="K2" s="6" t="n"/>
      <c r="L2" s="5" t="n">
        <v>45997</v>
      </c>
      <c r="M2" s="6" t="n"/>
      <c r="N2" s="5" t="n">
        <v>45998</v>
      </c>
      <c r="O2" s="7" t="n"/>
      <c r="P2" s="3" t="n"/>
    </row>
    <row r="3" ht="60" customHeight="1">
      <c r="A3" s="8" t="inlineStr">
        <is>
          <t>EVENTS</t>
        </is>
      </c>
      <c r="B3" s="9" t="n"/>
      <c r="C3" s="10" t="n"/>
      <c r="D3" s="9" t="inlineStr">
        <is>
          <t>Rm 1001 Prof BOON - 11a-3:30p / 1002-1003 Workshop 8a-6p</t>
        </is>
      </c>
      <c r="E3" s="10" t="n"/>
      <c r="F3" s="9" t="inlineStr">
        <is>
          <t xml:space="preserve"> Set-up Classrooms on 10th Floor IN THE EVENING</t>
        </is>
      </c>
      <c r="G3" s="11" t="n"/>
      <c r="H3" s="92" t="inlineStr">
        <is>
          <t>F10 classes all day / SET-UP 8TH FLOOR FROM THE MORNING / Xmas Party 6p-10p FLOOR 8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8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10a-5</t>
        </is>
      </c>
      <c r="G4" s="18" t="n">
        <v>7</v>
      </c>
      <c r="H4" s="19" t="inlineStr">
        <is>
          <t>9a-7p</t>
        </is>
      </c>
      <c r="I4" s="18" t="n">
        <v>10</v>
      </c>
      <c r="J4" s="19" t="inlineStr">
        <is>
          <t xml:space="preserve">9a-5p </t>
        </is>
      </c>
      <c r="K4" s="18" t="n">
        <v>8</v>
      </c>
      <c r="L4" s="94" t="inlineStr">
        <is>
          <t>Lawrence 9p-7a</t>
        </is>
      </c>
      <c r="M4" s="18" t="n">
        <v>8</v>
      </c>
      <c r="N4" s="94" t="inlineStr">
        <is>
          <t>Lawrence 9p-7a</t>
        </is>
      </c>
      <c r="O4" s="18" t="n">
        <v>8</v>
      </c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TRAINING</t>
        </is>
      </c>
      <c r="C5" s="24" t="n">
        <v>8</v>
      </c>
      <c r="D5" s="26" t="inlineStr">
        <is>
          <t>TRAINING</t>
        </is>
      </c>
      <c r="E5" s="24" t="n">
        <v>8</v>
      </c>
      <c r="F5" s="26" t="inlineStr">
        <is>
          <t>TRAINING</t>
        </is>
      </c>
      <c r="G5" s="24" t="n">
        <v>8</v>
      </c>
      <c r="H5" s="26" t="inlineStr">
        <is>
          <t>11a-7p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Chinnesha</t>
        </is>
      </c>
      <c r="B6" s="165" t="inlineStr">
        <is>
          <t>CC 12p-7p B@2</t>
        </is>
      </c>
      <c r="C6" s="48" t="n">
        <v>6.5</v>
      </c>
      <c r="D6" s="133" t="inlineStr">
        <is>
          <t>CC f12 4p-7p</t>
        </is>
      </c>
      <c r="E6" s="48" t="n">
        <v>3</v>
      </c>
      <c r="F6" s="60" t="inlineStr">
        <is>
          <t>CC 12p-7p f12 B@3:30p</t>
        </is>
      </c>
      <c r="G6" s="48" t="n">
        <v>6.5</v>
      </c>
      <c r="H6" s="158" t="n"/>
      <c r="I6" s="48" t="n"/>
      <c r="J6" s="60" t="inlineStr">
        <is>
          <t>CC 11a-7p f8</t>
        </is>
      </c>
      <c r="K6" s="48" t="n">
        <v>7.5</v>
      </c>
      <c r="L6" s="165" t="inlineStr">
        <is>
          <t>8a-1p f10</t>
        </is>
      </c>
      <c r="M6" s="48" t="n">
        <v>5</v>
      </c>
      <c r="N6" s="48" t="n"/>
      <c r="O6" s="18" t="n"/>
      <c r="P6" s="3">
        <f>SUM(O6,M6,K6,I6,G6,E6,C6)</f>
        <v/>
      </c>
    </row>
    <row r="7" ht="16" customHeight="1">
      <c r="A7" s="163" t="inlineStr">
        <is>
          <t>Daria</t>
        </is>
      </c>
      <c r="B7" s="48" t="inlineStr">
        <is>
          <t>11a-7p f9 B@2:30p</t>
        </is>
      </c>
      <c r="C7" s="48" t="n">
        <v>7.5</v>
      </c>
      <c r="D7" s="48" t="inlineStr">
        <is>
          <t>8a-4p f9</t>
        </is>
      </c>
      <c r="E7" s="48" t="n">
        <v>7.5</v>
      </c>
      <c r="F7" s="48" t="n"/>
      <c r="G7" s="48" t="n"/>
      <c r="H7" s="44" t="inlineStr">
        <is>
          <t>CC 8a-12p f12</t>
        </is>
      </c>
      <c r="I7" s="48" t="n">
        <v>4</v>
      </c>
      <c r="J7" s="48" t="inlineStr">
        <is>
          <t>8a-1p f9</t>
        </is>
      </c>
      <c r="K7" s="48" t="n">
        <v>5</v>
      </c>
      <c r="L7" s="56" t="inlineStr">
        <is>
          <t>CC 4p-7p f8</t>
        </is>
      </c>
      <c r="M7" s="48" t="n">
        <v>3</v>
      </c>
      <c r="N7" s="48" t="n"/>
      <c r="O7" s="18" t="n"/>
      <c r="P7" s="3">
        <f>SUM(O7,M7,K7,I7,G7,E7,C7)</f>
        <v/>
      </c>
    </row>
    <row r="8" ht="48" customHeight="1">
      <c r="A8" s="163" t="inlineStr">
        <is>
          <t>Karan</t>
        </is>
      </c>
      <c r="B8" s="196" t="inlineStr">
        <is>
          <t>CC 8a-12p f12</t>
        </is>
      </c>
      <c r="C8" s="48" t="n">
        <v>4</v>
      </c>
      <c r="D8" s="196" t="inlineStr">
        <is>
          <t>CC 8a-12:30p f12</t>
        </is>
      </c>
      <c r="E8" s="48" t="n">
        <v>4.5</v>
      </c>
      <c r="F8" s="90" t="inlineStr">
        <is>
          <t>CC 8a-12p f12</t>
        </is>
      </c>
      <c r="G8" s="48" t="n">
        <v>4</v>
      </c>
      <c r="H8" s="213" t="n"/>
      <c r="I8" s="48" t="n"/>
      <c r="J8" s="196" t="inlineStr">
        <is>
          <t>CC 8a-1p f12</t>
        </is>
      </c>
      <c r="K8" s="48" t="n">
        <v>5</v>
      </c>
      <c r="L8" s="56" t="inlineStr">
        <is>
          <t>CC 8a-12p f8 B@12/ 12:30-6p f12</t>
        </is>
      </c>
      <c r="M8" s="47" t="n">
        <v>9.5</v>
      </c>
      <c r="N8" s="48" t="n"/>
      <c r="O8" s="18" t="n"/>
      <c r="P8" s="3">
        <f>SUM(O8,M8,K8,I8,G8,E8,C8)</f>
        <v/>
      </c>
    </row>
    <row r="9" ht="43.5" customHeight="1">
      <c r="A9" s="163" t="inlineStr">
        <is>
          <t>Kavya</t>
        </is>
      </c>
      <c r="B9" s="164" t="inlineStr">
        <is>
          <t>8a-2p f8/ B@1/ CC f12 2-2:30/ 2:30-3 f9</t>
        </is>
      </c>
      <c r="C9" s="48" t="n">
        <v>6.5</v>
      </c>
      <c r="D9" s="164" t="inlineStr">
        <is>
          <t>8a-6p f8</t>
        </is>
      </c>
      <c r="E9" s="48" t="n">
        <v>9.5</v>
      </c>
      <c r="F9" s="16" t="inlineStr">
        <is>
          <t>8a-12p f9</t>
        </is>
      </c>
      <c r="G9" s="18" t="n">
        <v>4</v>
      </c>
      <c r="H9" s="157" t="inlineStr">
        <is>
          <t>CC 12p-6 f12 / CC6-7p f9</t>
        </is>
      </c>
      <c r="I9" s="48" t="n">
        <v>6.5</v>
      </c>
      <c r="J9" s="165" t="n"/>
      <c r="K9" s="48" t="n"/>
      <c r="L9" s="38" t="n"/>
      <c r="M9" s="47" t="n"/>
      <c r="N9" s="48" t="n"/>
      <c r="O9" s="18" t="n"/>
      <c r="P9" s="3">
        <f>SUM(O9,M9,K9,I9,G9,E9,C9)</f>
        <v/>
      </c>
    </row>
    <row r="10" ht="16" customHeight="1">
      <c r="A10" s="128" t="inlineStr">
        <is>
          <t>Leonardo</t>
        </is>
      </c>
      <c r="B10" s="48" t="inlineStr">
        <is>
          <t>2p-6p f8</t>
        </is>
      </c>
      <c r="C10" s="48" t="n">
        <v>4</v>
      </c>
      <c r="D10" s="164" t="inlineStr">
        <is>
          <t>3:30p-7p f9</t>
        </is>
      </c>
      <c r="E10" s="48" t="n">
        <v>3.5</v>
      </c>
      <c r="F10" s="48" t="n"/>
      <c r="G10" s="48" t="n"/>
      <c r="H10" s="137" t="n"/>
      <c r="I10" s="48" t="n"/>
      <c r="J10" s="48" t="n"/>
      <c r="K10" s="48" t="n"/>
      <c r="L10" s="129" t="inlineStr">
        <is>
          <t>8a-11a f9</t>
        </is>
      </c>
      <c r="M10" s="48" t="n">
        <v>3</v>
      </c>
      <c r="N10" s="48" t="n"/>
      <c r="O10" s="18" t="n"/>
      <c r="P10" s="3">
        <f>SUM(O10,M10,K10,I10,G10,E10,C10)</f>
        <v/>
      </c>
    </row>
    <row r="11" ht="16" customHeight="1">
      <c r="A11" s="128" t="inlineStr">
        <is>
          <t xml:space="preserve">Marina </t>
        </is>
      </c>
      <c r="B11" s="36" t="inlineStr">
        <is>
          <t>8a-11a f9</t>
        </is>
      </c>
      <c r="C11" s="48" t="n">
        <v>3</v>
      </c>
      <c r="D11" s="38" t="n"/>
      <c r="E11" s="48" t="n"/>
      <c r="F11" s="48" t="n"/>
      <c r="G11" s="48" t="n"/>
      <c r="H11" s="48" t="inlineStr">
        <is>
          <t>8a-4p f10/ 4-6pm f9</t>
        </is>
      </c>
      <c r="I11" s="48" t="n">
        <v>9.5</v>
      </c>
      <c r="J11" s="48" t="inlineStr">
        <is>
          <t>1p-7p f9</t>
        </is>
      </c>
      <c r="K11" s="48" t="n">
        <v>5.5</v>
      </c>
      <c r="L11" s="48" t="inlineStr">
        <is>
          <t>11a-7p f9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8" customHeight="1">
      <c r="A12" s="163" t="inlineStr">
        <is>
          <t>Osmaro</t>
        </is>
      </c>
      <c r="B12" s="135" t="inlineStr">
        <is>
          <t>RO</t>
        </is>
      </c>
      <c r="C12" s="48" t="n"/>
      <c r="D12" s="157" t="inlineStr">
        <is>
          <t>CC12:30-4p f12</t>
        </is>
      </c>
      <c r="E12" s="48" t="n">
        <v>3.5</v>
      </c>
      <c r="F12" s="221" t="inlineStr">
        <is>
          <t>2p-7p f9</t>
        </is>
      </c>
      <c r="G12" s="48" t="n">
        <v>5</v>
      </c>
      <c r="H12" s="137" t="inlineStr">
        <is>
          <t>4p-6p f8/ 6-7 closing rest of campus/ 7p-12am event, Campus Reset</t>
        </is>
      </c>
      <c r="I12" s="48" t="n">
        <v>7.5</v>
      </c>
      <c r="J12" s="135" t="inlineStr">
        <is>
          <t>RO</t>
        </is>
      </c>
      <c r="K12" s="48" t="n"/>
      <c r="L12" s="45" t="inlineStr">
        <is>
          <t>ro</t>
        </is>
      </c>
      <c r="M12" s="48" t="n"/>
      <c r="N12" s="48" t="n"/>
      <c r="O12" s="18" t="n"/>
      <c r="P12" s="3">
        <f>SUM(O12,M12,K12,I12,G12,E12,C12)</f>
        <v/>
      </c>
    </row>
    <row r="13" ht="64" customHeight="1">
      <c r="A13" s="163" t="inlineStr">
        <is>
          <t>Pablo</t>
        </is>
      </c>
      <c r="B13" s="38" t="n"/>
      <c r="C13" s="48" t="n"/>
      <c r="D13" s="48" t="inlineStr">
        <is>
          <t>9a-5p INV</t>
        </is>
      </c>
      <c r="E13" s="48" t="n">
        <v>7.5</v>
      </c>
      <c r="F13" s="45" t="inlineStr">
        <is>
          <t>12p-2p f9/ 2-7p set-up &amp; clean (cover CC@3:30p)</t>
        </is>
      </c>
      <c r="G13" s="48" t="n">
        <v>6.5</v>
      </c>
      <c r="H13" s="48" t="inlineStr">
        <is>
          <t>11a-4p f9</t>
        </is>
      </c>
      <c r="I13" s="48" t="n">
        <v>5</v>
      </c>
      <c r="J13" s="48" t="n"/>
      <c r="K13" s="48" t="n"/>
      <c r="L13" s="165" t="inlineStr">
        <is>
          <t>11a-12p walk/check the buildings/ CC 12p-4p f8</t>
        </is>
      </c>
      <c r="M13" s="48" t="n">
        <v>5</v>
      </c>
      <c r="N13" s="48" t="n"/>
      <c r="O13" s="18" t="n"/>
      <c r="P13" s="3">
        <f>SUM(O13,M13,K13,I13,G13,E13,C13)</f>
        <v/>
      </c>
    </row>
    <row r="14" ht="15" customHeight="1">
      <c r="A14" s="128" t="inlineStr">
        <is>
          <t>Taran</t>
        </is>
      </c>
      <c r="B14" s="38" t="n"/>
      <c r="C14" s="48" t="n"/>
      <c r="D14" s="38" t="n"/>
      <c r="E14" s="48" t="n"/>
      <c r="F14" s="48" t="inlineStr">
        <is>
          <t>8a-6p f8</t>
        </is>
      </c>
      <c r="G14" s="48" t="n">
        <v>9.5</v>
      </c>
      <c r="H14" s="204" t="inlineStr">
        <is>
          <t>8a-11a f9</t>
        </is>
      </c>
      <c r="I14" s="48" t="n">
        <v>3</v>
      </c>
      <c r="J14" s="129" t="inlineStr">
        <is>
          <t xml:space="preserve"> 8a-11a f8/ 4p-7p f10</t>
        </is>
      </c>
      <c r="K14" s="48" t="n">
        <v>6</v>
      </c>
      <c r="L14" s="48" t="inlineStr">
        <is>
          <t>12-1pm - setup -reg</t>
        </is>
      </c>
      <c r="M14" s="48" t="n">
        <v>1</v>
      </c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Viviana TRAINING</t>
        </is>
      </c>
      <c r="B15" s="214" t="inlineStr">
        <is>
          <t>2p-7p f9 TR w Daria</t>
        </is>
      </c>
      <c r="C15" s="48" t="n">
        <v>5</v>
      </c>
      <c r="D15" s="225" t="n"/>
      <c r="E15" s="48" t="n"/>
      <c r="F15" s="214" t="inlineStr">
        <is>
          <t>3:30-7p f9 TR w Osmaro</t>
        </is>
      </c>
      <c r="G15" s="48" t="n">
        <v>3.5</v>
      </c>
      <c r="H15" s="215" t="n"/>
      <c r="I15" s="48" t="n"/>
      <c r="J15" s="214" t="inlineStr">
        <is>
          <t>2p-7p f9 TR w Osmaro</t>
        </is>
      </c>
      <c r="K15" s="48" t="n">
        <v>5</v>
      </c>
      <c r="L15" s="60" t="inlineStr">
        <is>
          <t>CC TR 12p-7p f8</t>
        </is>
      </c>
      <c r="M15" s="48" t="n">
        <v>6.5</v>
      </c>
      <c r="N15" s="48" t="n"/>
      <c r="O15" s="18" t="n"/>
      <c r="P15" s="3">
        <f>SUM(O15,M15,K15,I15,G15,E15,C15)</f>
        <v/>
      </c>
    </row>
    <row r="16" ht="16" customHeight="1">
      <c r="A16" s="128" t="inlineStr">
        <is>
          <t>Iqra TRAINING</t>
        </is>
      </c>
      <c r="B16" s="165" t="inlineStr">
        <is>
          <t>CC TR 12p-7p f12</t>
        </is>
      </c>
      <c r="C16" s="48" t="n">
        <v>6.5</v>
      </c>
      <c r="D16" s="165" t="inlineStr">
        <is>
          <t>CC TR 12p-7p f12</t>
        </is>
      </c>
      <c r="E16" s="48" t="n">
        <v>6.5</v>
      </c>
      <c r="F16" s="38" t="n"/>
      <c r="G16" s="48" t="n"/>
      <c r="H16" s="216" t="inlineStr">
        <is>
          <t>CC TR w Kavya 12p-7p</t>
        </is>
      </c>
      <c r="I16" s="48" t="n">
        <v>6.5</v>
      </c>
      <c r="J16" s="36" t="n"/>
      <c r="K16" s="48" t="n"/>
      <c r="L16" s="36" t="n"/>
      <c r="M16" s="48" t="n"/>
      <c r="N16" s="48" t="n"/>
      <c r="O16" s="18" t="n"/>
      <c r="P16" s="3">
        <f>SUM(O16,M16,K16,I16,G16,E16,C16)</f>
        <v/>
      </c>
    </row>
    <row r="17" ht="32" customHeight="1">
      <c r="A17" s="128" t="inlineStr">
        <is>
          <t>Sagar - Intern wk1</t>
        </is>
      </c>
      <c r="B17" s="196" t="inlineStr">
        <is>
          <t>w Fran 10a-11</t>
        </is>
      </c>
      <c r="C17" s="48" t="n">
        <v>1</v>
      </c>
      <c r="D17" s="48" t="inlineStr">
        <is>
          <t>8a-1:30p w Adonis</t>
        </is>
      </c>
      <c r="E17" s="48" t="n">
        <v>5</v>
      </c>
      <c r="F17" s="48" t="inlineStr">
        <is>
          <t>RO</t>
        </is>
      </c>
      <c r="G17" s="48" t="n"/>
      <c r="H17" s="169" t="inlineStr">
        <is>
          <t>RO</t>
        </is>
      </c>
      <c r="I17" s="48" t="n"/>
      <c r="J17" s="48" t="inlineStr">
        <is>
          <t>8a-12p TR IBU support</t>
        </is>
      </c>
      <c r="K17" s="48" t="n">
        <v>4</v>
      </c>
      <c r="L17" s="48" t="inlineStr">
        <is>
          <t>8a-1a TR IBU support</t>
        </is>
      </c>
      <c r="M17" s="48" t="n">
        <v>5</v>
      </c>
      <c r="N17" s="48" t="n"/>
      <c r="O17" s="18" t="n"/>
      <c r="P17" s="3">
        <f>SUM(O17,M17,K17,I17,G17,E17,C17)</f>
        <v/>
      </c>
    </row>
    <row r="18" ht="32" customHeight="1">
      <c r="A18" s="45" t="inlineStr">
        <is>
          <t>Jyoti Intern wk 7</t>
        </is>
      </c>
      <c r="B18" s="84" t="inlineStr">
        <is>
          <t>sick</t>
        </is>
      </c>
      <c r="C18" s="82" t="n"/>
      <c r="D18" s="84" t="inlineStr">
        <is>
          <t>9a-5 w fran</t>
        </is>
      </c>
      <c r="E18" s="82" t="n">
        <v>7.5</v>
      </c>
      <c r="F18" s="138" t="n"/>
      <c r="G18" s="82" t="n"/>
      <c r="H18" s="79" t="inlineStr">
        <is>
          <t>12p-4 (rest hours next wk)</t>
        </is>
      </c>
      <c r="I18" s="82" t="n">
        <v>4</v>
      </c>
      <c r="J18" s="140" t="n"/>
      <c r="K18" s="82" t="n"/>
      <c r="L18" s="141" t="n"/>
      <c r="M18" s="45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w4</t>
        </is>
      </c>
      <c r="B19" s="172" t="inlineStr">
        <is>
          <t>CC 8a-1p f12</t>
        </is>
      </c>
      <c r="C19" s="18" t="n">
        <v>5</v>
      </c>
      <c r="D19" s="82" t="n"/>
      <c r="E19" s="18" t="n"/>
      <c r="F19" s="60" t="inlineStr">
        <is>
          <t>CC f12 8a-3:30p</t>
        </is>
      </c>
      <c r="G19" s="18" t="n">
        <v>7</v>
      </c>
      <c r="H19" s="16" t="inlineStr">
        <is>
          <t>9p-12a RESET w Osmaro &amp; ibu ops</t>
        </is>
      </c>
      <c r="I19" s="82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2p-7p set-up</t>
        </is>
      </c>
      <c r="G20" s="18" t="n">
        <v>5</v>
      </c>
      <c r="H20" s="82" t="n"/>
      <c r="I20" s="18" t="n"/>
      <c r="J20" s="82" t="inlineStr">
        <is>
          <t>9a-4pm f10 Desk</t>
        </is>
      </c>
      <c r="K20" s="18" t="n">
        <v>6.5</v>
      </c>
      <c r="L20" s="18" t="inlineStr">
        <is>
          <t>1pm-6p f10 desk</t>
        </is>
      </c>
      <c r="M20" s="51" t="n">
        <v>5</v>
      </c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20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9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9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9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6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/>
  </sheetPr>
  <dimension ref="A1:S33"/>
  <sheetViews>
    <sheetView zoomScaleNormal="100" zoomScaleSheetLayoutView="100" workbookViewId="0">
      <selection activeCell="A16" sqref="A16"/>
    </sheetView>
  </sheetViews>
  <sheetFormatPr baseColWidth="10" defaultColWidth="8.83203125" defaultRowHeight="15"/>
  <cols>
    <col width="26.5" customWidth="1" min="1" max="1"/>
    <col width="17.5" customWidth="1" min="2" max="2"/>
    <col width="5" bestFit="1" customWidth="1" min="3" max="3"/>
    <col width="20" customWidth="1" min="4" max="4"/>
    <col width="4.83203125" customWidth="1" min="5" max="5"/>
    <col width="21.5" customWidth="1" min="6" max="6"/>
    <col width="5.5" bestFit="1" customWidth="1" min="7" max="7"/>
    <col width="20.83203125" bestFit="1" customWidth="1" min="8" max="8"/>
    <col width="5.5" bestFit="1" customWidth="1" min="9" max="9"/>
    <col width="21" bestFit="1" customWidth="1" min="10" max="10"/>
    <col width="4.5" customWidth="1" min="11" max="11"/>
    <col width="16.33203125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k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45985</v>
      </c>
      <c r="C2" s="3" t="n"/>
      <c r="D2" s="5" t="n">
        <v>45986</v>
      </c>
      <c r="E2" s="6" t="n"/>
      <c r="F2" s="5" t="n">
        <v>45987</v>
      </c>
      <c r="G2" s="6" t="n"/>
      <c r="H2" s="5" t="n">
        <v>45988</v>
      </c>
      <c r="I2" s="3" t="n"/>
      <c r="J2" s="5" t="n">
        <v>45989</v>
      </c>
      <c r="K2" s="3" t="n"/>
      <c r="L2" s="5" t="n">
        <v>45990</v>
      </c>
      <c r="M2" s="6" t="n"/>
      <c r="N2" s="5" t="n">
        <v>45991</v>
      </c>
      <c r="O2" s="7" t="n"/>
      <c r="P2" s="3" t="n"/>
    </row>
    <row r="3" ht="82.5" customHeight="1">
      <c r="A3" s="8" t="inlineStr">
        <is>
          <t>EVENTS</t>
        </is>
      </c>
      <c r="B3" s="9" t="n"/>
      <c r="C3" s="13" t="n"/>
      <c r="D3" s="191" t="inlineStr">
        <is>
          <t>Chess Tournament 1001 - 3to5</t>
        </is>
      </c>
      <c r="E3" s="192" t="n"/>
      <c r="F3" s="206" t="inlineStr">
        <is>
          <t>Chess Tournament 1001- 11:30 to 1:30</t>
        </is>
      </c>
      <c r="G3" s="192" t="n"/>
      <c r="H3" s="193" t="inlineStr">
        <is>
          <t>Career services networking event 80ppl -- 4:30pm - 8:00 pm - 1001+2</t>
        </is>
      </c>
      <c r="I3" s="10" t="n"/>
      <c r="J3" s="194" t="inlineStr">
        <is>
          <t>Julien's class in 1003</t>
        </is>
      </c>
      <c r="K3" s="13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9a-7:30</t>
        </is>
      </c>
      <c r="E4" s="18" t="n">
        <v>10.5</v>
      </c>
      <c r="F4" s="19" t="inlineStr">
        <is>
          <t>9a-3p offsite/ 3-5p</t>
        </is>
      </c>
      <c r="G4" s="18" t="n">
        <v>8</v>
      </c>
      <c r="H4" s="19" t="inlineStr">
        <is>
          <t>8a-8:30p</t>
        </is>
      </c>
      <c r="I4" s="18" t="n">
        <v>12.5</v>
      </c>
      <c r="J4" s="19" t="inlineStr">
        <is>
          <t>10:30a-3:30p offisite / 9p-3a Lawrence</t>
        </is>
      </c>
      <c r="K4" s="18">
        <f>5+6</f>
        <v/>
      </c>
      <c r="L4" s="94" t="inlineStr">
        <is>
          <t>Lawrence 9p-3a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 xml:space="preserve">Lieu 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32" customHeight="1">
      <c r="A6" s="163" t="inlineStr">
        <is>
          <t>Daria</t>
        </is>
      </c>
      <c r="B6" s="48" t="inlineStr">
        <is>
          <t>8-12:30p f9 / B@12:30/ 1-4 CC f12</t>
        </is>
      </c>
      <c r="C6" s="48" t="n">
        <v>7.5</v>
      </c>
      <c r="D6" s="165" t="inlineStr">
        <is>
          <t>12p-3:30p CC/ B@3:30/ 4-7 f9</t>
        </is>
      </c>
      <c r="E6" s="48" t="n">
        <v>6.5</v>
      </c>
      <c r="F6" s="165" t="inlineStr">
        <is>
          <t>12p-3:30p CC f8</t>
        </is>
      </c>
      <c r="G6" s="48" t="n">
        <v>3.5</v>
      </c>
      <c r="H6" s="36" t="inlineStr">
        <is>
          <t>8-12 f9</t>
        </is>
      </c>
      <c r="I6" s="48" t="n">
        <v>4</v>
      </c>
      <c r="J6" s="48" t="inlineStr">
        <is>
          <t>8a-12:30p</t>
        </is>
      </c>
      <c r="K6" s="48" t="n">
        <v>4.5</v>
      </c>
      <c r="L6" s="87" t="inlineStr">
        <is>
          <t>11a-7p f9</t>
        </is>
      </c>
      <c r="M6" s="48" t="n">
        <v>7.5</v>
      </c>
      <c r="N6" s="48" t="n"/>
      <c r="O6" s="18" t="n"/>
      <c r="P6" s="3">
        <f>SUM(O6,M6,K6,I6,G6,E6,C6)</f>
        <v/>
      </c>
    </row>
    <row r="7" ht="48" customHeight="1">
      <c r="A7" s="163" t="inlineStr">
        <is>
          <t>Pablo</t>
        </is>
      </c>
      <c r="B7" s="38" t="n"/>
      <c r="C7" s="48" t="n"/>
      <c r="D7" s="45" t="inlineStr">
        <is>
          <t>INV 8a-5pm</t>
        </is>
      </c>
      <c r="E7" s="48" t="n">
        <v>8</v>
      </c>
      <c r="F7" s="238" t="inlineStr">
        <is>
          <t>9:30a-12:30 fran/12:30p-1p f8/ CC 1-3:30p/ B@3:30 /  4-6 f9</t>
        </is>
      </c>
      <c r="G7" s="48" t="n">
        <v>8</v>
      </c>
      <c r="H7" s="195" t="inlineStr">
        <is>
          <t>CC 1-1:30/ 1:30-9:30 event</t>
        </is>
      </c>
      <c r="I7" s="48" t="n">
        <v>8</v>
      </c>
      <c r="J7" s="48" t="n"/>
      <c r="K7" s="48" t="n"/>
      <c r="L7" s="87" t="n"/>
      <c r="M7" s="48" t="n"/>
      <c r="N7" s="48" t="n"/>
      <c r="O7" s="18" t="n"/>
      <c r="P7" s="3">
        <f>SUM(O7,M7,K7,I7,G7,E7,C7)</f>
        <v/>
      </c>
    </row>
    <row r="8" ht="16" customHeight="1">
      <c r="A8" s="163" t="inlineStr">
        <is>
          <t>Kavya</t>
        </is>
      </c>
      <c r="B8" s="60" t="inlineStr">
        <is>
          <t>11- 7p CC f9 B@3:30</t>
        </is>
      </c>
      <c r="C8" s="48" t="n">
        <v>7.5</v>
      </c>
      <c r="D8" s="48" t="inlineStr">
        <is>
          <t>8a-4p f9</t>
        </is>
      </c>
      <c r="E8" s="48" t="n">
        <v>7.5</v>
      </c>
      <c r="F8" s="133" t="inlineStr">
        <is>
          <t>CC 9:30a-12p</t>
        </is>
      </c>
      <c r="G8" s="18" t="n">
        <v>2.5</v>
      </c>
      <c r="H8" s="157" t="n"/>
      <c r="I8" s="48" t="n"/>
      <c r="J8" s="165" t="inlineStr">
        <is>
          <t>11a- 7 CCf12</t>
        </is>
      </c>
      <c r="K8" s="48" t="n">
        <v>7.5</v>
      </c>
      <c r="L8" s="38" t="n"/>
      <c r="M8" s="47" t="n"/>
      <c r="N8" s="48" t="n"/>
      <c r="O8" s="18" t="n"/>
      <c r="P8" s="3">
        <f>SUM(O8,M8,K8,I8,G8,E8,C8)</f>
        <v/>
      </c>
    </row>
    <row r="9" ht="16" customHeight="1">
      <c r="A9" s="163" t="inlineStr">
        <is>
          <t>Osmaro</t>
        </is>
      </c>
      <c r="B9" s="136" t="inlineStr">
        <is>
          <t>12:30p-7p f9</t>
        </is>
      </c>
      <c r="C9" s="48" t="n">
        <v>6</v>
      </c>
      <c r="D9" s="136" t="inlineStr">
        <is>
          <t>RO</t>
        </is>
      </c>
      <c r="E9" s="48" t="n"/>
      <c r="F9" s="135" t="n"/>
      <c r="G9" s="48" t="n"/>
      <c r="H9" s="135" t="n"/>
      <c r="I9" s="48" t="n"/>
      <c r="J9" s="136" t="inlineStr">
        <is>
          <t>12:30p-4p f9/ 4-6f8</t>
        </is>
      </c>
      <c r="K9" s="48" t="n">
        <v>5</v>
      </c>
      <c r="L9" s="87" t="n"/>
      <c r="M9" s="48" t="n"/>
      <c r="N9" s="48" t="n"/>
      <c r="O9" s="18" t="n"/>
      <c r="P9" s="3">
        <f>SUM(O9,M9,K9,I9,G9,E9,C9)</f>
        <v/>
      </c>
    </row>
    <row r="10" ht="32" customHeight="1">
      <c r="A10" s="163" t="inlineStr">
        <is>
          <t>Chinnesha</t>
        </is>
      </c>
      <c r="B10" s="165" t="n"/>
      <c r="C10" s="48" t="n"/>
      <c r="D10" s="133" t="inlineStr">
        <is>
          <t>3:30-7 CC f12</t>
        </is>
      </c>
      <c r="E10" s="48" t="n">
        <v>3.5</v>
      </c>
      <c r="F10" s="133" t="inlineStr">
        <is>
          <t>3:30-7 CC f12</t>
        </is>
      </c>
      <c r="G10" s="48" t="n">
        <v>3.5</v>
      </c>
      <c r="H10" s="158" t="inlineStr">
        <is>
          <t>8-3pm CC f12 B@1</t>
        </is>
      </c>
      <c r="I10" s="48" t="n">
        <v>6.5</v>
      </c>
      <c r="J10" s="101" t="n"/>
      <c r="K10" s="48" t="n"/>
      <c r="L10" s="165" t="inlineStr">
        <is>
          <t>CC 8a-2p f8 B@2p/ 2:30-6p f8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2.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8a-4p f9/ 4-6p f8/ 6-7 f9</t>
        </is>
      </c>
      <c r="G11" s="48" t="n">
        <v>10.5</v>
      </c>
      <c r="H11" s="129" t="inlineStr">
        <is>
          <t>3:30p-7pf9</t>
        </is>
      </c>
      <c r="I11" s="48" t="n">
        <v>3.5</v>
      </c>
      <c r="J11" s="129" t="inlineStr">
        <is>
          <t>3:30p-7p f9</t>
        </is>
      </c>
      <c r="K11" s="48" t="n">
        <v>3.5</v>
      </c>
      <c r="L11" s="38" t="n"/>
      <c r="M11" s="48" t="n"/>
      <c r="N11" s="48" t="n"/>
      <c r="O11" s="18" t="n"/>
      <c r="P11" s="3">
        <f>SUM(O11,M11,K11,I11,G11,E11,C11)</f>
        <v/>
      </c>
    </row>
    <row r="12" ht="32" customHeight="1">
      <c r="A12" s="163" t="inlineStr">
        <is>
          <t>Karan</t>
        </is>
      </c>
      <c r="B12" s="196" t="inlineStr">
        <is>
          <t>8-12 CCf12</t>
        </is>
      </c>
      <c r="C12" s="48" t="n">
        <v>4</v>
      </c>
      <c r="D12" s="196" t="inlineStr">
        <is>
          <t>8-12 CCf12</t>
        </is>
      </c>
      <c r="E12" s="48" t="n">
        <v>4</v>
      </c>
      <c r="F12" s="196" t="inlineStr">
        <is>
          <t>8-12 CCf12</t>
        </is>
      </c>
      <c r="G12" s="48" t="n">
        <v>4</v>
      </c>
      <c r="H12" s="197" t="inlineStr">
        <is>
          <t>CC 3:30p-7p</t>
        </is>
      </c>
      <c r="I12" s="48" t="n">
        <v>3.5</v>
      </c>
      <c r="J12" s="196" t="inlineStr">
        <is>
          <t>8-12 CCf12</t>
        </is>
      </c>
      <c r="K12" s="48" t="n">
        <v>4</v>
      </c>
      <c r="L12" s="60" t="inlineStr">
        <is>
          <t>CC 2p-2:30p f8/ 2:30-7p f12</t>
        </is>
      </c>
      <c r="M12" s="47" t="n">
        <v>5</v>
      </c>
      <c r="N12" s="48" t="n"/>
      <c r="O12" s="18" t="n"/>
      <c r="P12" s="3">
        <f>SUM(O12,M12,K12,I12,G12,E12,C12)</f>
        <v/>
      </c>
    </row>
    <row r="13" ht="16" customHeight="1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211" t="inlineStr">
        <is>
          <t xml:space="preserve">8a-12:30pm f8 </t>
        </is>
      </c>
      <c r="G13" s="48" t="n">
        <v>4.5</v>
      </c>
      <c r="H13" s="48" t="inlineStr">
        <is>
          <t>8-4p f8</t>
        </is>
      </c>
      <c r="I13" s="48" t="n">
        <v>7.5</v>
      </c>
      <c r="J13" s="48" t="inlineStr">
        <is>
          <t>8a-4 f8</t>
        </is>
      </c>
      <c r="K13" s="48" t="n">
        <v>7.5</v>
      </c>
      <c r="L13" s="48" t="n"/>
      <c r="M13" s="48" t="n"/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 xml:space="preserve">Leonardo </t>
        </is>
      </c>
      <c r="B14" s="211" t="inlineStr">
        <is>
          <t>12p-6pm f8</t>
        </is>
      </c>
      <c r="C14" s="48" t="n">
        <v>5.5</v>
      </c>
      <c r="D14" s="211" t="inlineStr">
        <is>
          <t>8a-6p f8</t>
        </is>
      </c>
      <c r="E14" s="48" t="n">
        <v>9.5</v>
      </c>
      <c r="F14" s="48" t="inlineStr">
        <is>
          <t>12:30p-4p f8</t>
        </is>
      </c>
      <c r="G14" s="48" t="n">
        <v>3.5</v>
      </c>
      <c r="H14" s="136" t="inlineStr">
        <is>
          <t>12p-3:30p f9/ B@3:30/ 4-6f8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>
      <c r="A15" s="128" t="n"/>
      <c r="B15" s="48" t="n"/>
      <c r="C15" s="48" t="n"/>
      <c r="D15" s="164" t="n"/>
      <c r="E15" s="48" t="n"/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1.75" customHeight="1">
      <c r="A16" s="45" t="inlineStr">
        <is>
          <t>Jyoti Intern wk 6</t>
        </is>
      </c>
      <c r="B16" s="64" t="inlineStr">
        <is>
          <t xml:space="preserve">9:30-5pm Fran </t>
        </is>
      </c>
      <c r="C16" s="18" t="n">
        <v>7</v>
      </c>
      <c r="D16" s="82" t="n"/>
      <c r="E16" s="82" t="n"/>
      <c r="F16" s="212" t="inlineStr">
        <is>
          <t>9:30a-2:30p with Fran</t>
        </is>
      </c>
      <c r="G16" s="82" t="n">
        <v>5</v>
      </c>
      <c r="H16" s="139" t="inlineStr">
        <is>
          <t>12-3 with Fran</t>
        </is>
      </c>
      <c r="I16" s="82" t="n">
        <v>3</v>
      </c>
      <c r="J16" s="140" t="n"/>
      <c r="K16" s="82" t="n"/>
      <c r="L16" s="141" t="n"/>
      <c r="M16" s="45" t="n"/>
      <c r="N16" s="45" t="n"/>
      <c r="O16" s="18" t="n"/>
      <c r="P16" s="3">
        <f>SUM(O16,M16,K16,I16,G16,E16,C16)</f>
        <v/>
      </c>
    </row>
    <row r="17" ht="32" customFormat="1" customHeight="1" s="190">
      <c r="A17" s="198" t="inlineStr">
        <is>
          <t>Aya Intern wk 7 - pending hrs last weeks</t>
        </is>
      </c>
      <c r="B17" s="203" t="inlineStr">
        <is>
          <t xml:space="preserve">10-3pm Fran </t>
        </is>
      </c>
      <c r="C17" s="18" t="n">
        <v>5</v>
      </c>
      <c r="D17" s="200" t="n"/>
      <c r="E17" s="199" t="n"/>
      <c r="F17" s="201" t="n"/>
      <c r="G17" s="199" t="n"/>
      <c r="H17" s="202" t="inlineStr">
        <is>
          <t xml:space="preserve">12-8 - Fran and events </t>
        </is>
      </c>
      <c r="I17" s="18" t="n">
        <v>7.5</v>
      </c>
      <c r="J17" s="203" t="inlineStr">
        <is>
          <t>10:30am-3:30 Fran (will do next week)</t>
        </is>
      </c>
      <c r="K17" s="18" t="n">
        <v>5</v>
      </c>
      <c r="L17" s="199" t="n"/>
      <c r="M17" s="199" t="n"/>
      <c r="N17" s="198" t="n"/>
      <c r="O17" s="203" t="n"/>
      <c r="P17" s="3">
        <f>SUM(O17,M17,K17,I17,G17,E17,C17)</f>
        <v/>
      </c>
    </row>
    <row r="18" ht="16" customHeight="1">
      <c r="A18" s="45" t="inlineStr">
        <is>
          <t>Sohan Fast track intern w3</t>
        </is>
      </c>
      <c r="B18" s="172" t="inlineStr">
        <is>
          <t>8a-1p desk</t>
        </is>
      </c>
      <c r="C18" s="18" t="n">
        <v>5</v>
      </c>
      <c r="D18" s="18" t="inlineStr">
        <is>
          <t>11a-7p f9 desk</t>
        </is>
      </c>
      <c r="E18" s="18" t="n">
        <v>7.5</v>
      </c>
      <c r="F18" s="18" t="inlineStr">
        <is>
          <t>1p-7p desk</t>
        </is>
      </c>
      <c r="G18" s="18" t="n">
        <v>5.5</v>
      </c>
      <c r="H18" s="204" t="inlineStr">
        <is>
          <t>4p-9p event</t>
        </is>
      </c>
      <c r="I18" s="18" t="n">
        <v>5</v>
      </c>
      <c r="J18" s="82" t="n"/>
      <c r="K18" s="18" t="n"/>
      <c r="L18" s="173" t="n"/>
      <c r="M18" s="51" t="n"/>
      <c r="N18" s="48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n"/>
      <c r="C19" s="18" t="n"/>
      <c r="D19" s="143" t="n"/>
      <c r="E19" s="18" t="n"/>
      <c r="F19" s="205" t="inlineStr">
        <is>
          <t>2p-5p reset floors + cleaning</t>
        </is>
      </c>
      <c r="G19" s="18" t="n">
        <v>3</v>
      </c>
      <c r="H19" s="82" t="inlineStr">
        <is>
          <t>1p-9p Ibu ops + event set up and reset</t>
        </is>
      </c>
      <c r="I19" s="18" t="n">
        <v>7.5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45" t="n"/>
      <c r="B20" s="82" t="n"/>
      <c r="C20" s="18" t="n"/>
      <c r="D20" s="82" t="n"/>
      <c r="E20" s="18" t="n"/>
      <c r="F20" s="85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SUM(O8:O19)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6" customHeight="1" thickBot="1">
      <c r="A24" s="121" t="n"/>
      <c r="B24" s="439" t="inlineStr">
        <is>
          <t>Shifts  Will Vary based on class schedule, business demand, Availability &amp; RO's</t>
        </is>
      </c>
      <c r="C24" s="210" t="n"/>
      <c r="D24" s="121" t="n"/>
    </row>
    <row r="25" ht="20" customHeight="1" thickBot="1">
      <c r="A25" s="145" t="inlineStr">
        <is>
          <t>AVAILABILITIES</t>
        </is>
      </c>
      <c r="D25" s="207" t="inlineStr">
        <is>
          <t>7-week Internship Up-to 15 hrs/ wk</t>
        </is>
      </c>
      <c r="E25" s="208" t="n"/>
      <c r="F25" s="208" t="n"/>
      <c r="G25" s="208" t="n"/>
      <c r="H25" s="208" t="n"/>
      <c r="I25" s="208" t="n"/>
      <c r="J25" s="209" t="n"/>
    </row>
    <row r="26" ht="19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20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20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20" customHeight="1" thickBot="1">
      <c r="A29" s="149" t="inlineStr">
        <is>
          <t>After 3:30pm</t>
        </is>
      </c>
      <c r="D29" s="207" t="inlineStr">
        <is>
          <t>Fast Track internship 5-weeks Up-to 21-Hours per week</t>
        </is>
      </c>
      <c r="E29" s="208" t="n"/>
      <c r="F29" s="208" t="n"/>
      <c r="G29" s="208" t="n"/>
      <c r="H29" s="208" t="n"/>
      <c r="I29" s="208" t="n"/>
      <c r="J29" s="209" t="n"/>
    </row>
    <row r="30" ht="26.25" customHeight="1">
      <c r="A30" s="150" t="inlineStr">
        <is>
          <t>12-3p</t>
        </is>
      </c>
      <c r="D30" s="174" t="inlineStr">
        <is>
          <t>first 30 hours IBU Ops</t>
        </is>
      </c>
      <c r="E30" s="175" t="n"/>
      <c r="F30" s="175" t="n"/>
      <c r="G30" s="175" t="n"/>
      <c r="H30" s="175" t="n"/>
      <c r="I30" s="175" t="n"/>
      <c r="J30" s="176" t="n"/>
    </row>
    <row r="31" ht="19" customHeight="1">
      <c r="A31" s="151" t="inlineStr">
        <is>
          <t>after 12 - eod</t>
        </is>
      </c>
      <c r="D31" s="174" t="inlineStr">
        <is>
          <t>2nd 30 hours DESK</t>
        </is>
      </c>
      <c r="E31" s="175" t="n"/>
      <c r="F31" s="175" t="n"/>
      <c r="G31" s="175" t="n"/>
      <c r="H31" s="175" t="n"/>
      <c r="I31" s="175" t="n"/>
      <c r="J31" s="176" t="n"/>
    </row>
    <row r="32" ht="19" customHeight="1">
      <c r="A32" s="152" t="inlineStr">
        <is>
          <t>Before 12 and after 3:30</t>
        </is>
      </c>
      <c r="D32" s="174" t="inlineStr">
        <is>
          <t>15 hours Call Centre</t>
        </is>
      </c>
      <c r="E32" s="175" t="n"/>
      <c r="F32" s="175" t="n"/>
      <c r="G32" s="175" t="n"/>
      <c r="H32" s="175" t="n"/>
      <c r="I32" s="175" t="n"/>
      <c r="J32" s="176" t="n"/>
    </row>
    <row r="33" ht="16" customHeight="1" thickBot="1">
      <c r="D33" s="177" t="inlineStr">
        <is>
          <t>30 hours Management</t>
        </is>
      </c>
      <c r="E33" s="178" t="n"/>
      <c r="F33" s="178" t="n"/>
      <c r="G33" s="178" t="n"/>
      <c r="H33" s="178" t="n"/>
      <c r="I33" s="178" t="n"/>
      <c r="J33" s="179" t="n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M5" sqref="M5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5.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7.6640625" customWidth="1" min="15" max="15"/>
    <col width="7.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45978</v>
      </c>
      <c r="C2" s="6" t="n"/>
      <c r="D2" s="5" t="n">
        <v>45979</v>
      </c>
      <c r="E2" s="6" t="n"/>
      <c r="F2" s="5" t="n">
        <v>45980</v>
      </c>
      <c r="G2" s="6" t="n"/>
      <c r="H2" s="5" t="n">
        <v>45981</v>
      </c>
      <c r="I2" s="6" t="n"/>
      <c r="J2" s="5" t="n">
        <v>45982</v>
      </c>
      <c r="K2" s="6" t="n"/>
      <c r="L2" s="5" t="n">
        <v>45983</v>
      </c>
      <c r="M2" s="6" t="n"/>
      <c r="N2" s="5" t="n">
        <v>45984</v>
      </c>
      <c r="O2" s="7" t="n"/>
      <c r="P2" s="3" t="n"/>
    </row>
    <row r="3" ht="28" customHeight="1">
      <c r="A3" s="8" t="inlineStr">
        <is>
          <t>EVENTS</t>
        </is>
      </c>
      <c r="B3" s="9" t="n"/>
      <c r="C3" s="10" t="n"/>
      <c r="D3" s="188" t="inlineStr">
        <is>
          <t>CIBC- Literacy Seminar - 807</t>
        </is>
      </c>
      <c r="E3" s="186" t="n"/>
      <c r="F3" s="189" t="inlineStr">
        <is>
          <t>Mental health support/ 1001- 10-4pm</t>
        </is>
      </c>
      <c r="G3" s="186" t="n"/>
      <c r="H3" s="189" t="inlineStr">
        <is>
          <t>Puppy Therapy -1001-10-4pm/ Reset Julien's class</t>
        </is>
      </c>
      <c r="I3" s="186" t="n"/>
      <c r="J3" s="187" t="inlineStr">
        <is>
          <t>Julien's class in 1003</t>
        </is>
      </c>
      <c r="K3" s="10" t="n"/>
      <c r="L3" s="93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9:30-6pm</t>
        </is>
      </c>
      <c r="C4" s="18" t="n">
        <v>8.5</v>
      </c>
      <c r="D4" s="19" t="inlineStr">
        <is>
          <t>9a-9pm</t>
        </is>
      </c>
      <c r="E4" s="18" t="n">
        <v>12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9a-5p/ Lawrence 9p-5am</t>
        </is>
      </c>
      <c r="K4" s="18" t="n">
        <v>16</v>
      </c>
      <c r="L4" s="94" t="inlineStr">
        <is>
          <t>9p-3am Law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9a-6:30</t>
        </is>
      </c>
      <c r="G5" s="24" t="n">
        <v>9.5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Chinnesha</t>
        </is>
      </c>
      <c r="B6" s="165" t="inlineStr">
        <is>
          <t>8-3:30p CC f12</t>
        </is>
      </c>
      <c r="C6" s="48" t="n">
        <v>7</v>
      </c>
      <c r="D6" s="133" t="inlineStr">
        <is>
          <t>8-11:30am CCf10</t>
        </is>
      </c>
      <c r="E6" s="48" t="n">
        <v>3.5</v>
      </c>
      <c r="F6" s="45" t="n"/>
      <c r="G6" s="48" t="n"/>
      <c r="H6" s="158" t="inlineStr">
        <is>
          <t>8-3pm CC f12 B@1</t>
        </is>
      </c>
      <c r="I6" s="48" t="n">
        <v>6.5</v>
      </c>
      <c r="J6" s="101" t="n"/>
      <c r="K6" s="48" t="n"/>
      <c r="L6" s="165" t="inlineStr">
        <is>
          <t>11:30-7p CC f12</t>
        </is>
      </c>
      <c r="M6" s="48" t="n">
        <v>7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Daria</t>
        </is>
      </c>
      <c r="B7" s="48" t="inlineStr">
        <is>
          <t>4:30p-7p f9</t>
        </is>
      </c>
      <c r="C7" s="48" t="n">
        <v>2.5</v>
      </c>
      <c r="D7" s="164" t="inlineStr">
        <is>
          <t>8-4:30pm f9</t>
        </is>
      </c>
      <c r="E7" s="48" t="n">
        <v>8</v>
      </c>
      <c r="F7" s="165" t="n"/>
      <c r="G7" s="48" t="n"/>
      <c r="H7" s="36" t="inlineStr">
        <is>
          <t>8- 12pm f9</t>
        </is>
      </c>
      <c r="I7" s="48" t="n">
        <v>4</v>
      </c>
      <c r="J7" s="48" t="inlineStr">
        <is>
          <t>3:30p-7p f9</t>
        </is>
      </c>
      <c r="K7" s="48" t="n">
        <v>3.5</v>
      </c>
      <c r="L7" s="165" t="inlineStr">
        <is>
          <t>8a-6p CC f8 B@11:30</t>
        </is>
      </c>
      <c r="M7" s="47" t="n">
        <v>9.5</v>
      </c>
      <c r="N7" s="48" t="n"/>
      <c r="O7" s="18" t="n">
        <v>3</v>
      </c>
      <c r="P7" s="3">
        <f>SUM(O7,M7,K7,I7,G7,E7,C7)</f>
        <v/>
      </c>
    </row>
    <row r="8" ht="33.75" customHeight="1">
      <c r="A8" s="163" t="inlineStr">
        <is>
          <t>Karan</t>
        </is>
      </c>
      <c r="B8" s="168" t="inlineStr">
        <is>
          <t>11-7pm CCf12 B@3</t>
        </is>
      </c>
      <c r="C8" s="48" t="n">
        <v>7.5</v>
      </c>
      <c r="D8" s="168" t="inlineStr">
        <is>
          <t>11-7pm CCf10 B@3:30</t>
        </is>
      </c>
      <c r="E8" s="48" t="n">
        <v>7.5</v>
      </c>
      <c r="F8" s="168" t="inlineStr">
        <is>
          <t>11-7pm CCf12 B@3</t>
        </is>
      </c>
      <c r="G8" s="48" t="n">
        <v>7.5</v>
      </c>
      <c r="H8" s="130" t="n"/>
      <c r="I8" s="48" t="n"/>
      <c r="J8" s="157" t="n"/>
      <c r="K8" s="48" t="n"/>
      <c r="L8" s="38" t="n"/>
      <c r="M8" s="48" t="n"/>
      <c r="N8" s="48" t="n"/>
      <c r="O8" s="18" t="n"/>
      <c r="P8" s="3">
        <f>SUM(O8,M8,K8,I8,G8,E8,C8)</f>
        <v/>
      </c>
    </row>
    <row r="9" ht="16" customHeight="1">
      <c r="A9" s="163" t="inlineStr">
        <is>
          <t>Kavya</t>
        </is>
      </c>
      <c r="B9" s="48" t="inlineStr">
        <is>
          <t>11:30a-6pf8</t>
        </is>
      </c>
      <c r="C9" s="48" t="n">
        <v>6</v>
      </c>
      <c r="D9" s="165" t="n"/>
      <c r="E9" s="48" t="n"/>
      <c r="F9" s="133" t="inlineStr">
        <is>
          <t xml:space="preserve">8-12pm CCf12/ </t>
        </is>
      </c>
      <c r="G9" s="18" t="n">
        <v>4</v>
      </c>
      <c r="H9" s="157" t="inlineStr">
        <is>
          <t>12-7pm CC f12 B@2:30</t>
        </is>
      </c>
      <c r="I9" s="48" t="n">
        <v>6.5</v>
      </c>
      <c r="J9" s="165" t="inlineStr">
        <is>
          <t xml:space="preserve">8a-3:30p B@1p CCf12 </t>
        </is>
      </c>
      <c r="K9" s="48" t="n">
        <v>7.5</v>
      </c>
      <c r="L9" s="38" t="n"/>
      <c r="M9" s="48" t="n"/>
      <c r="N9" s="48" t="n"/>
      <c r="O9" s="18" t="n"/>
      <c r="P9" s="3">
        <f>SUM(O9,M9,K9,I9,G9,E9,C9)</f>
        <v/>
      </c>
    </row>
    <row r="10" ht="16" customHeight="1">
      <c r="A10" s="128" t="inlineStr">
        <is>
          <t xml:space="preserve">Leonardo </t>
        </is>
      </c>
      <c r="B10" s="48" t="n"/>
      <c r="C10" s="48" t="n"/>
      <c r="D10" s="164" t="inlineStr">
        <is>
          <t>8-6pm f8</t>
        </is>
      </c>
      <c r="E10" s="48" t="n">
        <v>9.5</v>
      </c>
      <c r="F10" s="48" t="inlineStr">
        <is>
          <t>11a-3:30p f9</t>
        </is>
      </c>
      <c r="G10" s="48" t="n">
        <v>4.5</v>
      </c>
      <c r="H10" s="137" t="inlineStr">
        <is>
          <t>4p-7p f9</t>
        </is>
      </c>
      <c r="I10" s="47" t="n">
        <v>3</v>
      </c>
      <c r="J10" s="167" t="n"/>
      <c r="K10" s="167" t="n"/>
      <c r="L10" s="184" t="inlineStr">
        <is>
          <t>8a-12p f9</t>
        </is>
      </c>
      <c r="M10" s="48" t="n">
        <v>4</v>
      </c>
      <c r="N10" s="48" t="n"/>
      <c r="O10" s="18" t="n">
        <v>4</v>
      </c>
      <c r="P10" s="3">
        <f>SUM(O10,M10,K10,I10,G10,E10,C10)</f>
        <v/>
      </c>
    </row>
    <row r="11" ht="32" customHeight="1">
      <c r="A11" s="128" t="inlineStr">
        <is>
          <t xml:space="preserve">Marina </t>
        </is>
      </c>
      <c r="B11" s="48" t="inlineStr">
        <is>
          <t>8a-11:30a f8</t>
        </is>
      </c>
      <c r="C11" s="48" t="n">
        <v>3.5</v>
      </c>
      <c r="D11" s="38" t="n"/>
      <c r="E11" s="48" t="n"/>
      <c r="F11" s="48" t="inlineStr">
        <is>
          <t>1p-3p proj/ B@3/ 3:30p-7p f9</t>
        </is>
      </c>
      <c r="G11" s="48" t="n">
        <v>5.5</v>
      </c>
      <c r="H11" s="48" t="inlineStr">
        <is>
          <t>12-6pm f8 b@4pm</t>
        </is>
      </c>
      <c r="I11" s="48" t="n">
        <v>5.5</v>
      </c>
      <c r="J11" s="48" t="inlineStr">
        <is>
          <t>8a-2pm f8</t>
        </is>
      </c>
      <c r="K11" s="48" t="n">
        <v>5.5</v>
      </c>
      <c r="L11" s="48" t="n"/>
      <c r="M11" s="48" t="n"/>
      <c r="N11" s="48" t="n"/>
      <c r="O11" s="18" t="n"/>
      <c r="P11" s="3">
        <f>SUM(O11,M11,K11,I11,G11,E11,C11)</f>
        <v/>
      </c>
    </row>
    <row r="12" ht="32" customHeight="1">
      <c r="A12" s="163" t="inlineStr">
        <is>
          <t>Osmaro</t>
        </is>
      </c>
      <c r="B12" s="135" t="inlineStr">
        <is>
          <t>1p-3 f9/ 3-5p w fran</t>
        </is>
      </c>
      <c r="C12" s="48" t="n">
        <v>4</v>
      </c>
      <c r="D12" s="168" t="inlineStr">
        <is>
          <t>12:30 - 4pm CCf12 B@4-4:30/ 4:30-7pm f9</t>
        </is>
      </c>
      <c r="E12" s="48" t="n">
        <v>6</v>
      </c>
      <c r="F12" s="168" t="inlineStr">
        <is>
          <t>12:30p-4p CC</t>
        </is>
      </c>
      <c r="G12" s="48" t="n">
        <v>3.5</v>
      </c>
      <c r="H12" s="135" t="inlineStr">
        <is>
          <t>1p-5p w fran</t>
        </is>
      </c>
      <c r="I12" s="48" t="n">
        <v>4</v>
      </c>
      <c r="J12" s="157" t="inlineStr">
        <is>
          <t>12:30-7p CC f12 B@3:30p</t>
        </is>
      </c>
      <c r="K12" s="48" t="n">
        <v>6</v>
      </c>
      <c r="L12" s="48" t="n"/>
      <c r="M12" s="48" t="n"/>
      <c r="N12" s="48" t="n"/>
      <c r="O12" s="18" t="n"/>
      <c r="P12" s="3">
        <f>SUM(O12,M12,K12,I12,G12,E12,C12)</f>
        <v/>
      </c>
    </row>
    <row r="13" ht="48" customHeight="1">
      <c r="A13" s="163" t="inlineStr">
        <is>
          <t>Pablo</t>
        </is>
      </c>
      <c r="B13" s="38" t="n"/>
      <c r="C13" s="48" t="n"/>
      <c r="D13" s="164" t="inlineStr">
        <is>
          <t>10- 2pm inventories</t>
        </is>
      </c>
      <c r="E13" s="48" t="n">
        <v>4</v>
      </c>
      <c r="F13" s="48" t="n"/>
      <c r="G13" s="48" t="n"/>
      <c r="H13" s="48" t="inlineStr">
        <is>
          <t>8:30a-11:30 projs/ 11:30a-4p f9 /4-4:30 f8/ 4:30-5 proj</t>
        </is>
      </c>
      <c r="I13" s="48" t="n">
        <v>7.5</v>
      </c>
      <c r="J13" s="48" t="inlineStr">
        <is>
          <t>1-3:30 f/ 3:30-6 f8</t>
        </is>
      </c>
      <c r="K13" s="48" t="n">
        <v>5</v>
      </c>
      <c r="L13" s="217" t="inlineStr">
        <is>
          <t xml:space="preserve">11-12p f8/ 12-7p f9 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32" customHeight="1">
      <c r="A14" s="128" t="inlineStr">
        <is>
          <t>Sri</t>
        </is>
      </c>
      <c r="B14" s="164" t="inlineStr">
        <is>
          <t>8a-1 f9/ B@1/ 1:30-3 w fran/ 3-5 f9</t>
        </is>
      </c>
      <c r="C14" s="48" t="n">
        <v>8</v>
      </c>
      <c r="D14" s="164" t="inlineStr">
        <is>
          <t>10- 2pm inventories</t>
        </is>
      </c>
      <c r="E14" s="48" t="n">
        <v>4</v>
      </c>
      <c r="F14" s="48" t="inlineStr">
        <is>
          <t>8a-11a f9/ B@11 / 11:30-1:30p- Projects</t>
        </is>
      </c>
      <c r="G14" s="48" t="n">
        <v>5</v>
      </c>
      <c r="H14" s="136" t="n"/>
      <c r="I14" s="48" t="n"/>
      <c r="J14" s="185" t="inlineStr">
        <is>
          <t>8a-1p  f9</t>
        </is>
      </c>
      <c r="K14" s="48" t="n">
        <v>5</v>
      </c>
      <c r="L14" s="48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>Taran</t>
        </is>
      </c>
      <c r="B15" s="38" t="n"/>
      <c r="C15" s="48" t="n"/>
      <c r="D15" s="38" t="n"/>
      <c r="E15" s="48" t="n"/>
      <c r="F15" s="48" t="inlineStr">
        <is>
          <t>8a-6p f8</t>
        </is>
      </c>
      <c r="G15" s="48" t="n">
        <v>9.5</v>
      </c>
      <c r="H15" s="129" t="inlineStr">
        <is>
          <t xml:space="preserve">8- 12pm f8 </t>
        </is>
      </c>
      <c r="I15" s="48" t="n">
        <v>4</v>
      </c>
      <c r="J15" s="129" t="inlineStr">
        <is>
          <t>C/o</t>
        </is>
      </c>
      <c r="K15" s="48" t="n"/>
      <c r="L15" s="38" t="n"/>
      <c r="M15" s="48" t="n"/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 wk5</t>
        </is>
      </c>
      <c r="B17" s="165" t="inlineStr">
        <is>
          <t xml:space="preserve">8-3:30p CC f12 TR </t>
        </is>
      </c>
      <c r="C17" s="48" t="n">
        <v>7</v>
      </c>
      <c r="D17" s="82" t="n"/>
      <c r="E17" s="82" t="n"/>
      <c r="F17" s="158" t="inlineStr">
        <is>
          <t xml:space="preserve">8-1p CC f12 TR </t>
        </is>
      </c>
      <c r="G17" s="82" t="n">
        <v>5</v>
      </c>
      <c r="H17" s="180" t="inlineStr">
        <is>
          <t>12p-3p CC f12 TR</t>
        </is>
      </c>
      <c r="I17" s="82" t="n">
        <v>3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 wk 6</t>
        </is>
      </c>
      <c r="B18" s="170" t="n"/>
      <c r="C18" s="82" t="n"/>
      <c r="D18" s="181" t="inlineStr">
        <is>
          <t>10:30a-3p w fran</t>
        </is>
      </c>
      <c r="E18" s="82" t="n">
        <v>4.5</v>
      </c>
      <c r="F18" s="181" t="n"/>
      <c r="G18" s="82" t="n"/>
      <c r="H18" s="143" t="inlineStr">
        <is>
          <t>12 - 4:30pm with Fran</t>
        </is>
      </c>
      <c r="I18" s="82" t="n">
        <v>4.5</v>
      </c>
      <c r="J18" s="45" t="n"/>
      <c r="K18" s="48" t="n"/>
      <c r="L18" s="173" t="n"/>
      <c r="M18" s="82" t="n"/>
      <c r="N18" s="45" t="n"/>
      <c r="O18" s="18" t="n">
        <v>3</v>
      </c>
      <c r="P18" s="3">
        <f>SUM(O18,M18,K18,I18,G18,E18,C18)</f>
        <v/>
      </c>
    </row>
    <row r="19" ht="32" customHeight="1">
      <c r="A19" s="45" t="inlineStr">
        <is>
          <t>Sohan Fast track intern wk2</t>
        </is>
      </c>
      <c r="B19" s="172" t="inlineStr">
        <is>
          <t>8a-1p IBU OPS</t>
        </is>
      </c>
      <c r="C19" s="18" t="n">
        <v>5</v>
      </c>
      <c r="D19" s="82" t="inlineStr">
        <is>
          <t>8a-12p Event+ IBU OPS/ 12p-1pm f9 DESK TR</t>
        </is>
      </c>
      <c r="E19" s="18" t="n">
        <v>5</v>
      </c>
      <c r="F19" s="82" t="inlineStr">
        <is>
          <t>8a-4:30desk/ 4:30-6:30p f9 fran</t>
        </is>
      </c>
      <c r="G19" s="18" t="n">
        <v>10</v>
      </c>
      <c r="H19" s="16" t="inlineStr">
        <is>
          <t>8a-11:30am f9 desk</t>
        </is>
      </c>
      <c r="I19" s="18" t="n">
        <v>3.5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1- 5pm event +IBU ops</t>
        </is>
      </c>
      <c r="G20" s="18" t="n">
        <v>4</v>
      </c>
      <c r="H20" s="82" t="inlineStr">
        <is>
          <t>8-5pm event+ IBU ops</t>
        </is>
      </c>
      <c r="I20" s="18" t="n">
        <v>8.5</v>
      </c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SUM(O7:O20)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121" t="n"/>
      <c r="B25" s="439" t="inlineStr">
        <is>
          <t>Shifts  Will Vary based on class schedule, business demand, Availability &amp; RO's</t>
        </is>
      </c>
      <c r="C25" s="439" t="n"/>
      <c r="D25" s="121" t="n"/>
    </row>
    <row r="26" ht="20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9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20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IBU Ops</t>
        </is>
      </c>
      <c r="J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J11" sqref="J11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45971</v>
      </c>
      <c r="C2" s="6" t="n"/>
      <c r="D2" s="5" t="n">
        <v>45972</v>
      </c>
      <c r="E2" s="6" t="n"/>
      <c r="F2" s="5" t="n">
        <v>45973</v>
      </c>
      <c r="G2" s="6" t="n"/>
      <c r="H2" s="5" t="n">
        <v>45974</v>
      </c>
      <c r="I2" s="6" t="n"/>
      <c r="J2" s="5" t="n">
        <v>45975</v>
      </c>
      <c r="K2" s="6" t="n"/>
      <c r="L2" s="5" t="n">
        <v>45976</v>
      </c>
      <c r="M2" s="6" t="n"/>
      <c r="N2" s="5" t="n">
        <v>45977</v>
      </c>
      <c r="O2" s="7" t="n"/>
      <c r="P2" s="3" t="n"/>
    </row>
    <row r="3" ht="60" customHeight="1">
      <c r="A3" s="8" t="inlineStr">
        <is>
          <t>EVENTS</t>
        </is>
      </c>
      <c r="B3" s="9" t="n"/>
      <c r="C3" s="10" t="n"/>
      <c r="D3" s="161" t="inlineStr">
        <is>
          <t>11AM Rememberance Day Ceremony 10th F 1002 + Entrepreneurial Mindset &amp; Capstone Committee Meeting 10 - 12pm - 1003</t>
        </is>
      </c>
      <c r="E3" s="162" t="n"/>
      <c r="F3" s="218" t="inlineStr">
        <is>
          <t>Career Services - Career Cafe - 1001</t>
        </is>
      </c>
      <c r="G3" s="162" t="n"/>
      <c r="H3" s="182" t="inlineStr">
        <is>
          <t>Reset for Julien class- 1003</t>
        </is>
      </c>
      <c r="I3" s="162" t="n"/>
      <c r="J3" s="183" t="inlineStr">
        <is>
          <t>Setup for Brenda quiz - 20 tables 40 chairs - 1001</t>
        </is>
      </c>
      <c r="K3" s="10" t="n"/>
      <c r="L3" s="218" t="inlineStr">
        <is>
          <t>Brenda Quiz 8 am - 3pm - 1001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9:30-7p</t>
        </is>
      </c>
      <c r="C4" s="18" t="n">
        <v>9.5</v>
      </c>
      <c r="D4" s="19" t="inlineStr">
        <is>
          <t>9a-11a Vega/ 11a-6:30p</t>
        </is>
      </c>
      <c r="E4" s="18" t="n">
        <v>9.5</v>
      </c>
      <c r="F4" s="19" t="inlineStr">
        <is>
          <t>9a-5:30</t>
        </is>
      </c>
      <c r="G4" s="18" t="n">
        <v>8.5</v>
      </c>
      <c r="H4" s="19" t="inlineStr">
        <is>
          <t>9a-6</t>
        </is>
      </c>
      <c r="I4" s="18" t="n">
        <v>9</v>
      </c>
      <c r="J4" s="19" t="inlineStr">
        <is>
          <t>9a-6:30</t>
        </is>
      </c>
      <c r="K4" s="18" t="n">
        <v>9.5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9a-5:30</t>
        </is>
      </c>
      <c r="C5" s="24" t="n">
        <v>8.5</v>
      </c>
      <c r="D5" s="26" t="inlineStr">
        <is>
          <t>9a-5:30</t>
        </is>
      </c>
      <c r="E5" s="24" t="n">
        <v>8.5</v>
      </c>
      <c r="F5" s="26" t="inlineStr">
        <is>
          <t>9a-5:30</t>
        </is>
      </c>
      <c r="G5" s="24" t="n">
        <v>8.5</v>
      </c>
      <c r="H5" s="26" t="inlineStr">
        <is>
          <t>9a-5</t>
        </is>
      </c>
      <c r="I5" s="24" t="n">
        <v>8</v>
      </c>
      <c r="J5" s="26" t="inlineStr">
        <is>
          <t>9a-5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163" t="inlineStr">
        <is>
          <t>Daria</t>
        </is>
      </c>
      <c r="B6" s="48" t="n"/>
      <c r="C6" s="48" t="n"/>
      <c r="D6" s="164" t="inlineStr">
        <is>
          <t>8- 4pm f9 B @1</t>
        </is>
      </c>
      <c r="E6" s="48" t="n">
        <v>7.5</v>
      </c>
      <c r="F6" s="165" t="inlineStr">
        <is>
          <t>CC 8- 4pm f12 B @1</t>
        </is>
      </c>
      <c r="G6" s="48" t="n">
        <v>7.5</v>
      </c>
      <c r="H6" s="36" t="inlineStr">
        <is>
          <t>8a-11:30am f9 no break</t>
        </is>
      </c>
      <c r="I6" s="48" t="n">
        <v>3.5</v>
      </c>
      <c r="J6" s="48" t="n"/>
      <c r="K6" s="48" t="n"/>
      <c r="L6" s="48" t="inlineStr">
        <is>
          <t>8a-2pf9  B@11a</t>
        </is>
      </c>
      <c r="M6" s="48" t="n">
        <v>5.5</v>
      </c>
      <c r="N6" s="48" t="n"/>
      <c r="O6" s="18" t="n"/>
      <c r="P6" s="3">
        <f>SUM(O6,M6,K6,I6,G6,E6,C6)</f>
        <v/>
      </c>
    </row>
    <row r="7" ht="32" customHeight="1">
      <c r="A7" s="163" t="inlineStr">
        <is>
          <t>Pablo</t>
        </is>
      </c>
      <c r="B7" s="38" t="n"/>
      <c r="C7" s="48" t="n"/>
      <c r="D7" s="45" t="inlineStr">
        <is>
          <t>9-10am Event / 10 -3 inventory</t>
        </is>
      </c>
      <c r="E7" s="48" t="n">
        <v>5.5</v>
      </c>
      <c r="F7" s="48" t="n"/>
      <c r="G7" s="48" t="n"/>
      <c r="H7" s="48" t="inlineStr">
        <is>
          <t>11:30a- 4p f9/ 4-6pm f8</t>
        </is>
      </c>
      <c r="I7" s="48" t="n">
        <v>6</v>
      </c>
      <c r="J7" s="48" t="n"/>
      <c r="K7" s="48" t="n"/>
      <c r="L7" s="165" t="inlineStr">
        <is>
          <t>CC 8- 6pm f8 B @11:30a</t>
        </is>
      </c>
      <c r="M7" s="48" t="n">
        <v>9.5</v>
      </c>
      <c r="N7" s="48" t="n"/>
      <c r="O7" s="18" t="n"/>
      <c r="P7" s="3">
        <f>SUM(O7,M7,K7,I7,G7,E7,C7)</f>
        <v/>
      </c>
    </row>
    <row r="8" ht="32" customHeight="1">
      <c r="A8" s="128" t="inlineStr">
        <is>
          <t>Sri</t>
        </is>
      </c>
      <c r="B8" s="164" t="inlineStr">
        <is>
          <t>8- 3:30pm f9 B @1</t>
        </is>
      </c>
      <c r="C8" s="48" t="n">
        <v>7</v>
      </c>
      <c r="D8" s="45" t="inlineStr">
        <is>
          <t>10 -3 inventory</t>
        </is>
      </c>
      <c r="E8" s="48" t="n">
        <v>5</v>
      </c>
      <c r="F8" s="164" t="inlineStr">
        <is>
          <t>8- 4pm f9 B @1</t>
        </is>
      </c>
      <c r="G8" s="48" t="n">
        <v>7.5</v>
      </c>
      <c r="H8" s="136" t="inlineStr">
        <is>
          <t>12:30-3pm proj</t>
        </is>
      </c>
      <c r="I8" s="47" t="n">
        <v>2.5</v>
      </c>
      <c r="J8" s="166" t="inlineStr">
        <is>
          <t>8-12:30p f9/ B@12:30/ 1p-2:30pm proj</t>
        </is>
      </c>
      <c r="K8" s="167" t="n">
        <v>6</v>
      </c>
      <c r="L8" s="167" t="n"/>
      <c r="M8" s="48" t="n"/>
      <c r="N8" s="48" t="n"/>
      <c r="O8" s="18" t="n"/>
      <c r="P8" s="3">
        <f>SUM(O8,M8,K8,I8,G8,E8,C8)</f>
        <v/>
      </c>
    </row>
    <row r="9" ht="32" customHeight="1">
      <c r="A9" s="163" t="inlineStr">
        <is>
          <t>Kavya</t>
        </is>
      </c>
      <c r="B9" s="56" t="n"/>
      <c r="C9" s="48" t="n"/>
      <c r="D9" s="165" t="inlineStr">
        <is>
          <t>CC 8- 4pm f12 B @1</t>
        </is>
      </c>
      <c r="E9" s="48" t="n">
        <v>7.5</v>
      </c>
      <c r="F9" s="16" t="inlineStr">
        <is>
          <t>4-7pm f9</t>
        </is>
      </c>
      <c r="G9" s="18" t="n">
        <v>3</v>
      </c>
      <c r="H9" s="157" t="inlineStr">
        <is>
          <t>CC 12p-7pm f12 b@2:30pm</t>
        </is>
      </c>
      <c r="I9" s="48" t="n">
        <v>6.5</v>
      </c>
      <c r="J9" s="165" t="inlineStr">
        <is>
          <t>CC 8- 3:30pm f12 B @1</t>
        </is>
      </c>
      <c r="K9" s="48" t="n">
        <v>7</v>
      </c>
      <c r="L9" s="38" t="n"/>
      <c r="M9" s="47" t="n"/>
      <c r="N9" s="48" t="n"/>
      <c r="O9" s="18" t="n"/>
      <c r="P9" s="3">
        <f>SUM(O9,M9,K9,I9,G9,E9,C9)</f>
        <v/>
      </c>
    </row>
    <row r="10" ht="32" customHeight="1">
      <c r="A10" s="163" t="inlineStr">
        <is>
          <t>Osmaro</t>
        </is>
      </c>
      <c r="B10" s="135" t="inlineStr">
        <is>
          <t>3-3:30 f8 / 3:30- 7pm f9</t>
        </is>
      </c>
      <c r="C10" s="48" t="n">
        <v>4</v>
      </c>
      <c r="D10" s="135" t="inlineStr">
        <is>
          <t>3:30-4 f8 / 4- 7pm f9</t>
        </is>
      </c>
      <c r="E10" s="48" t="n">
        <v>3.5</v>
      </c>
      <c r="F10" s="168" t="inlineStr">
        <is>
          <t>CC 12:30- 7 f12 B@3:30</t>
        </is>
      </c>
      <c r="G10" s="48" t="n">
        <v>6</v>
      </c>
      <c r="H10" s="137" t="inlineStr">
        <is>
          <t>1p-4p f8</t>
        </is>
      </c>
      <c r="I10" s="48" t="n">
        <v>3</v>
      </c>
      <c r="J10" s="135" t="inlineStr">
        <is>
          <t>12:30p-7p f9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80" customHeight="1">
      <c r="A11" s="163" t="inlineStr">
        <is>
          <t>Chinnesha</t>
        </is>
      </c>
      <c r="B11" s="165" t="inlineStr">
        <is>
          <t>CC 8- 4pm f12 B @1</t>
        </is>
      </c>
      <c r="C11" s="48" t="n">
        <v>7.5</v>
      </c>
      <c r="D11" s="133" t="n"/>
      <c r="E11" s="48" t="n"/>
      <c r="F11" s="45" t="n"/>
      <c r="G11" s="48" t="n"/>
      <c r="H11" s="158" t="inlineStr">
        <is>
          <t>CC 8am - 3pm  f12 b@1pm</t>
        </is>
      </c>
      <c r="I11" s="48" t="n">
        <v>6.5</v>
      </c>
      <c r="J11" s="101" t="n"/>
      <c r="K11" s="48" t="n"/>
      <c r="L11" s="165" t="inlineStr">
        <is>
          <t xml:space="preserve">11a-11:30 f9/ CC 11:30-12p f8/ CC f12 12p-1:30p/ B@1:30/ 2p-4p f9/ CC f12 4p-7p 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16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8 - 6pm f8</t>
        </is>
      </c>
      <c r="G12" s="48" t="n">
        <v>9.5</v>
      </c>
      <c r="H12" s="129" t="inlineStr">
        <is>
          <t>4p-7p f9</t>
        </is>
      </c>
      <c r="I12" s="48" t="n">
        <v>3</v>
      </c>
      <c r="J12" s="129" t="inlineStr">
        <is>
          <t>8a-11:30a</t>
        </is>
      </c>
      <c r="K12" s="48" t="n">
        <v>3.5</v>
      </c>
      <c r="L12" s="38" t="n"/>
      <c r="M12" s="48" t="n"/>
      <c r="N12" s="48" t="n"/>
      <c r="O12" s="18" t="n"/>
      <c r="P12" s="3">
        <f>SUM(O12,M12,K12,I12,G12,E12,C12)</f>
        <v/>
      </c>
    </row>
    <row r="13" ht="16" customHeight="1">
      <c r="A13" s="163" t="inlineStr">
        <is>
          <t>Karan</t>
        </is>
      </c>
      <c r="B13" s="168" t="inlineStr">
        <is>
          <t>CC 11- 7 f12 B@3</t>
        </is>
      </c>
      <c r="C13" s="48" t="n">
        <v>7.5</v>
      </c>
      <c r="D13" s="168" t="inlineStr">
        <is>
          <t>CC 11- 7 f12 B@3:30p</t>
        </is>
      </c>
      <c r="E13" s="48" t="n">
        <v>7.5</v>
      </c>
      <c r="F13" s="157" t="n"/>
      <c r="G13" s="48" t="n"/>
      <c r="H13" s="130" t="n"/>
      <c r="I13" s="48" t="n"/>
      <c r="J13" s="157" t="inlineStr">
        <is>
          <t>CC 11- 7 f12 B@3</t>
        </is>
      </c>
      <c r="K13" s="48" t="n">
        <v>7.5</v>
      </c>
      <c r="L13" s="38" t="n"/>
      <c r="M13" s="47" t="n"/>
      <c r="N13" s="48" t="n"/>
      <c r="O13" s="18" t="n"/>
      <c r="P13" s="3">
        <f>SUM(O13,M13,K13,I13,G13,E13,C13)</f>
        <v/>
      </c>
    </row>
    <row r="14" ht="16" customHeight="1">
      <c r="A14" s="128" t="inlineStr">
        <is>
          <t xml:space="preserve">Marina </t>
        </is>
      </c>
      <c r="B14" s="36" t="inlineStr">
        <is>
          <t xml:space="preserve">8-12pm f8 </t>
        </is>
      </c>
      <c r="C14" s="48" t="n">
        <v>4</v>
      </c>
      <c r="D14" s="38" t="n"/>
      <c r="E14" s="48" t="n"/>
      <c r="F14" s="48" t="n"/>
      <c r="G14" s="48" t="n"/>
      <c r="H14" s="48" t="inlineStr">
        <is>
          <t>8a-1p f8</t>
        </is>
      </c>
      <c r="I14" s="48" t="n">
        <v>5</v>
      </c>
      <c r="J14" s="48" t="inlineStr">
        <is>
          <t>11:30a-6p f8</t>
        </is>
      </c>
      <c r="K14" s="48" t="n">
        <v>6</v>
      </c>
      <c r="L14" s="48" t="n"/>
      <c r="M14" s="48" t="n"/>
      <c r="N14" s="48" t="n"/>
      <c r="O14" s="18" t="n"/>
      <c r="P14" s="3">
        <f>SUM(O14,M14,K14,I14,G14,E14,C14)</f>
        <v/>
      </c>
    </row>
    <row r="15" ht="32" customHeight="1">
      <c r="A15" s="128" t="inlineStr">
        <is>
          <t xml:space="preserve">Leonardo </t>
        </is>
      </c>
      <c r="B15" s="48" t="inlineStr">
        <is>
          <t>12-6pm f8 B @3</t>
        </is>
      </c>
      <c r="C15" s="48" t="n">
        <v>5.5</v>
      </c>
      <c r="D15" s="164" t="inlineStr">
        <is>
          <t xml:space="preserve">8- 6pm f8 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8-12pm f9/ 4p-7p f9</t>
        </is>
      </c>
      <c r="M15" s="48" t="n">
        <v>7</v>
      </c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 t="n"/>
    </row>
    <row r="17" ht="16" customHeight="1">
      <c r="A17" s="45" t="inlineStr">
        <is>
          <t>Jyoti Intern wk4</t>
        </is>
      </c>
      <c r="B17" s="84" t="inlineStr">
        <is>
          <t>3p-7p f9</t>
        </is>
      </c>
      <c r="C17" s="82" t="n">
        <v>4</v>
      </c>
      <c r="D17" s="82" t="inlineStr">
        <is>
          <t>10a-3p inv w Sri &amp; Pablo</t>
        </is>
      </c>
      <c r="E17" s="82" t="n">
        <v>5</v>
      </c>
      <c r="F17" s="138" t="inlineStr">
        <is>
          <t>8a-2:30p w SRI f9</t>
        </is>
      </c>
      <c r="G17" s="82" t="n">
        <v>6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32" customHeight="1">
      <c r="A18" s="45" t="inlineStr">
        <is>
          <t>Aya Intern wk 5</t>
        </is>
      </c>
      <c r="B18" s="170" t="inlineStr">
        <is>
          <t>CCf12 8a-1pm TR w Chinnesha</t>
        </is>
      </c>
      <c r="C18" s="82" t="n">
        <v>5</v>
      </c>
      <c r="D18" s="171" t="inlineStr">
        <is>
          <t>8a-1p CC f12 TR w Kavya</t>
        </is>
      </c>
      <c r="E18" s="82" t="n">
        <v>5</v>
      </c>
      <c r="F18" s="171" t="inlineStr">
        <is>
          <t>8a-1p CCf12 TR w Daria</t>
        </is>
      </c>
      <c r="G18" s="82" t="n">
        <v>5</v>
      </c>
      <c r="H18" s="143" t="n"/>
      <c r="I18" s="82" t="n"/>
      <c r="J18" s="48" t="n"/>
      <c r="K18" s="48" t="n"/>
      <c r="L18" s="84" t="n"/>
      <c r="M18" s="82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Sohan Fast track intern wk1</t>
        </is>
      </c>
      <c r="B19" s="172" t="inlineStr">
        <is>
          <t>9a-10a w Aashima/ 10a-3p w Adonis</t>
        </is>
      </c>
      <c r="C19" s="18" t="n">
        <v>5.5</v>
      </c>
      <c r="D19" s="82" t="inlineStr">
        <is>
          <t>8a-3p w Adonis</t>
        </is>
      </c>
      <c r="E19" s="18" t="n">
        <v>6.5</v>
      </c>
      <c r="F19" s="82" t="inlineStr">
        <is>
          <t>8a-2:30p w Adonis</t>
        </is>
      </c>
      <c r="G19" s="18" t="n">
        <v>6</v>
      </c>
      <c r="H19" s="16" t="inlineStr">
        <is>
          <t>8a-11a w Adonis</t>
        </is>
      </c>
      <c r="I19" s="18" t="n">
        <v>3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 ht="16" customHeight="1">
      <c r="A20" s="45" t="inlineStr">
        <is>
          <t>Francisco</t>
        </is>
      </c>
      <c r="B20" s="16" t="inlineStr">
        <is>
          <t>8a-11:30a IBU Ops</t>
        </is>
      </c>
      <c r="C20" s="18" t="n">
        <v>3.5</v>
      </c>
      <c r="D20" s="143" t="inlineStr">
        <is>
          <t>8a-11a IBU OPS</t>
        </is>
      </c>
      <c r="E20" s="18" t="n">
        <v>3</v>
      </c>
      <c r="F20" s="144" t="n"/>
      <c r="G20" s="18" t="n"/>
      <c r="H20" s="82" t="n"/>
      <c r="I20" s="18" t="n"/>
      <c r="J20" s="82" t="inlineStr">
        <is>
          <t>8a-12p IBU ops</t>
        </is>
      </c>
      <c r="K20" s="18" t="n">
        <v>4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 ht="16" customHeight="1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SUM(O9:O20)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6" customHeight="1" thickBot="1">
      <c r="A25" s="121" t="n"/>
      <c r="B25" s="439" t="inlineStr">
        <is>
          <t>Shifts  Will Vary based on class schedule, business demand, Availability &amp; RO's</t>
        </is>
      </c>
      <c r="C25" s="439" t="n"/>
      <c r="D25" s="121" t="n"/>
    </row>
    <row r="26" ht="20" customHeight="1" thickBot="1">
      <c r="A26" s="145" t="inlineStr">
        <is>
          <t>AVAILABILITIES</t>
        </is>
      </c>
      <c r="D26" s="453" t="inlineStr">
        <is>
          <t>7-week Internship Up-to 15 hrs/ wk</t>
        </is>
      </c>
      <c r="E26" s="454" t="n"/>
      <c r="F26" s="454" t="n"/>
      <c r="G26" s="454" t="n"/>
      <c r="H26" s="454" t="n"/>
      <c r="I26" s="454" t="n"/>
      <c r="J26" s="454" t="n"/>
      <c r="K26" s="455" t="n"/>
    </row>
    <row r="27" ht="19" customHeight="1">
      <c r="A27" s="146" t="inlineStr">
        <is>
          <t>Blank = Anytime/ all day</t>
        </is>
      </c>
      <c r="D27" s="427" t="inlineStr">
        <is>
          <t xml:space="preserve"> wk 1&amp;2</t>
        </is>
      </c>
      <c r="F27" s="428" t="inlineStr">
        <is>
          <t>wk 3&amp;4</t>
        </is>
      </c>
      <c r="H27" s="428" t="inlineStr">
        <is>
          <t xml:space="preserve">wk 5 </t>
        </is>
      </c>
      <c r="J27" s="429" t="inlineStr">
        <is>
          <t>wk 6&amp;7</t>
        </is>
      </c>
      <c r="K27" s="443" t="n"/>
    </row>
    <row r="28" ht="20" customHeight="1" thickBot="1">
      <c r="A28" s="147" t="inlineStr">
        <is>
          <t>Until 12p</t>
        </is>
      </c>
      <c r="D28" s="421" t="inlineStr">
        <is>
          <t>IBU Ops</t>
        </is>
      </c>
      <c r="E28" s="445" t="n"/>
      <c r="F28" s="422" t="inlineStr">
        <is>
          <t>Desk</t>
        </is>
      </c>
      <c r="G28" s="445" t="n"/>
      <c r="H28" s="422" t="inlineStr">
        <is>
          <t>Call Centre</t>
        </is>
      </c>
      <c r="I28" s="445" t="n"/>
      <c r="J28" s="423" t="inlineStr">
        <is>
          <t>Management</t>
        </is>
      </c>
      <c r="K28" s="446" t="n"/>
    </row>
    <row r="29" ht="20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20" customHeight="1" thickBot="1">
      <c r="A30" s="149" t="inlineStr">
        <is>
          <t>After 3:30pm</t>
        </is>
      </c>
      <c r="D30" s="453" t="inlineStr">
        <is>
          <t>Fast Track internship 5-weeks Up-to 21-Hours per week</t>
        </is>
      </c>
      <c r="E30" s="454" t="n"/>
      <c r="F30" s="454" t="n"/>
      <c r="G30" s="454" t="n"/>
      <c r="H30" s="454" t="n"/>
      <c r="I30" s="454" t="n"/>
      <c r="J30" s="454" t="n"/>
      <c r="K30" s="455" t="n"/>
    </row>
    <row r="31" ht="3.75" customHeight="1">
      <c r="A31" s="150" t="inlineStr">
        <is>
          <t>12-3p</t>
        </is>
      </c>
      <c r="D31" s="442" t="inlineStr">
        <is>
          <t>first 30 hours IBU Ops</t>
        </is>
      </c>
      <c r="K31" s="443" t="n"/>
    </row>
    <row r="32" ht="19" customHeight="1">
      <c r="A32" s="151" t="inlineStr">
        <is>
          <t>after 12 - eod</t>
        </is>
      </c>
      <c r="D32" s="442" t="inlineStr">
        <is>
          <t>2nd 30 hours DESK</t>
        </is>
      </c>
      <c r="K32" s="443" t="n"/>
    </row>
    <row r="33" ht="19" customHeight="1">
      <c r="A33" s="152" t="inlineStr">
        <is>
          <t>Before 12 and after 3:30</t>
        </is>
      </c>
      <c r="D33" s="442" t="inlineStr">
        <is>
          <t>15 hours Call Centre</t>
        </is>
      </c>
      <c r="K33" s="443" t="n"/>
    </row>
    <row r="34" ht="16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5" t="n"/>
      <c r="K34" s="446" t="n"/>
    </row>
  </sheetData>
  <mergeCells count="14">
    <mergeCell ref="F27:G27"/>
    <mergeCell ref="D26:K26"/>
    <mergeCell ref="D30:K30"/>
    <mergeCell ref="D33:K33"/>
    <mergeCell ref="D34:K34"/>
    <mergeCell ref="D27:E27"/>
    <mergeCell ref="D28:E28"/>
    <mergeCell ref="F28:G28"/>
    <mergeCell ref="J27:K27"/>
    <mergeCell ref="J28:K28"/>
    <mergeCell ref="H28:I28"/>
    <mergeCell ref="D31:K31"/>
    <mergeCell ref="D32:K32"/>
    <mergeCell ref="H27:I2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R14" sqref="R14"/>
    </sheetView>
  </sheetViews>
  <sheetFormatPr baseColWidth="10" defaultColWidth="8.83203125" defaultRowHeight="15"/>
  <cols>
    <col width="26.5" customWidth="1" min="1" max="1"/>
    <col width="17.5" customWidth="1" min="2" max="2"/>
    <col width="4.5" bestFit="1" customWidth="1" min="3" max="3"/>
    <col width="23.1640625" customWidth="1" min="4" max="4"/>
    <col width="5.5" bestFit="1" customWidth="1" min="5" max="5"/>
    <col width="20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45964</v>
      </c>
      <c r="C2" s="6" t="n"/>
      <c r="D2" s="5" t="n">
        <v>45965</v>
      </c>
      <c r="E2" s="6" t="n"/>
      <c r="F2" s="5" t="n">
        <v>45966</v>
      </c>
      <c r="G2" s="6" t="n"/>
      <c r="H2" s="5" t="n">
        <v>45967</v>
      </c>
      <c r="I2" s="6" t="n"/>
      <c r="J2" s="5" t="n">
        <v>45968</v>
      </c>
      <c r="K2" s="6" t="n"/>
      <c r="L2" s="5" t="n">
        <v>45969</v>
      </c>
      <c r="M2" s="6" t="n"/>
      <c r="N2" s="5" t="n">
        <v>45970</v>
      </c>
      <c r="O2" s="7" t="n"/>
      <c r="P2" s="3" t="n"/>
    </row>
    <row r="3" ht="111" customHeight="1">
      <c r="A3" s="8" t="inlineStr">
        <is>
          <t>EVENTS</t>
        </is>
      </c>
      <c r="B3" s="9" t="n"/>
      <c r="C3" s="10" t="n"/>
      <c r="D3" s="160" t="inlineStr">
        <is>
          <t xml:space="preserve">Julien 9a-5pm F12 meetingRM / Azim 12pm-3pm rm 1003 / GuardMe Event - SS - Mood &amp; Munch 11am- 2pm(1001-2) + Tea and Talk  11-11:45am (805) / </t>
        </is>
      </c>
      <c r="E3" s="10" t="n"/>
      <c r="F3" s="219" t="inlineStr">
        <is>
          <t>Setup games in 1001- basket ball + carom etc</t>
        </is>
      </c>
      <c r="G3" s="11" t="n"/>
      <c r="H3" s="92" t="inlineStr">
        <is>
          <t>Network with the Best rm 1001 10a-12p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9a-7</t>
        </is>
      </c>
      <c r="C4" s="18" t="n">
        <v>10</v>
      </c>
      <c r="D4" s="19" t="inlineStr">
        <is>
          <t>9a-5p</t>
        </is>
      </c>
      <c r="E4" s="18" t="n">
        <v>5</v>
      </c>
      <c r="F4" s="19" t="inlineStr">
        <is>
          <t>9:30-6p</t>
        </is>
      </c>
      <c r="G4" s="18" t="n">
        <v>8.5</v>
      </c>
      <c r="H4" s="19" t="inlineStr">
        <is>
          <t>9a-6:30p</t>
        </is>
      </c>
      <c r="I4" s="18" t="n">
        <v>9.5</v>
      </c>
      <c r="J4" s="19" t="inlineStr">
        <is>
          <t xml:space="preserve">9a-5 </t>
        </is>
      </c>
      <c r="K4" s="18" t="n">
        <v>8</v>
      </c>
      <c r="L4" s="94" t="inlineStr">
        <is>
          <t>tbd</t>
        </is>
      </c>
      <c r="M4" s="18" t="n"/>
      <c r="N4" s="18" t="n"/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9a-6p</t>
        </is>
      </c>
      <c r="C5" s="48" t="n">
        <v>9</v>
      </c>
      <c r="D5" s="26" t="inlineStr">
        <is>
          <t>9a-5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9a-4</t>
        </is>
      </c>
      <c r="K5" s="48" t="n">
        <v>7</v>
      </c>
      <c r="L5" s="24" t="n"/>
      <c r="M5" s="51" t="n"/>
      <c r="N5" s="24" t="n"/>
      <c r="O5" s="18" t="n"/>
      <c r="P5" s="3">
        <f>SUM(O5,M5,K5,I5,G5,E5,C5)</f>
        <v/>
      </c>
    </row>
    <row r="6" ht="32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 xml:space="preserve">CC 8a-12p rm 1003 </t>
        </is>
      </c>
      <c r="E6" s="48" t="n">
        <v>4</v>
      </c>
      <c r="F6" s="44" t="inlineStr">
        <is>
          <t>CC 8a-12p rm 1003 (8a-9am)</t>
        </is>
      </c>
      <c r="G6" s="48" t="n">
        <v>1</v>
      </c>
      <c r="H6" s="44" t="inlineStr">
        <is>
          <t>CC 8a-12p rm 1003 C/O</t>
        </is>
      </c>
      <c r="I6" s="48" t="n">
        <v>0</v>
      </c>
      <c r="J6" s="44" t="inlineStr">
        <is>
          <t>CC 8a-12p rm 1003 C/O</t>
        </is>
      </c>
      <c r="K6" s="48" t="n">
        <v>0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16" customHeight="1">
      <c r="A7" s="128" t="inlineStr">
        <is>
          <t>Sri</t>
        </is>
      </c>
      <c r="B7" s="48" t="inlineStr">
        <is>
          <t>8a-3:30p f9</t>
        </is>
      </c>
      <c r="C7" s="48" t="n">
        <v>7</v>
      </c>
      <c r="D7" s="48" t="inlineStr">
        <is>
          <t>12p-4p inventories</t>
        </is>
      </c>
      <c r="E7" s="48" t="n">
        <v>4</v>
      </c>
      <c r="F7" s="82" t="n"/>
      <c r="G7" s="18" t="n"/>
      <c r="H7" s="143" t="n"/>
      <c r="I7" s="48" t="n"/>
      <c r="J7" s="153" t="inlineStr">
        <is>
          <t>8a-3:30p f9</t>
        </is>
      </c>
      <c r="K7" s="48" t="n">
        <v>7</v>
      </c>
      <c r="L7" s="48" t="inlineStr">
        <is>
          <t>11a-3:30p</t>
        </is>
      </c>
      <c r="M7" s="48" t="n">
        <v>4.5</v>
      </c>
      <c r="N7" s="48" t="n"/>
      <c r="O7" s="18" t="n"/>
      <c r="P7" s="3">
        <f>SUM(O7,M7,K7,I7,G7,E7,C7)</f>
        <v/>
      </c>
    </row>
    <row r="8" ht="16" customHeight="1">
      <c r="A8" s="127" t="inlineStr">
        <is>
          <t>Daria</t>
        </is>
      </c>
      <c r="B8" s="56" t="inlineStr">
        <is>
          <t>CC 8a-4p f12 B@12</t>
        </is>
      </c>
      <c r="C8" s="48" t="n">
        <v>7.5</v>
      </c>
      <c r="D8" s="48" t="inlineStr">
        <is>
          <t>8a-2p f9 B@12:30p</t>
        </is>
      </c>
      <c r="E8" s="48" t="n">
        <v>5.5</v>
      </c>
      <c r="F8" s="48" t="n"/>
      <c r="G8" s="48" t="n"/>
      <c r="H8" s="76" t="n"/>
      <c r="I8" s="48" t="n"/>
      <c r="J8" s="56" t="inlineStr">
        <is>
          <t>CC 8a-4p f12 B@1</t>
        </is>
      </c>
      <c r="K8" s="48" t="n">
        <v>7.5</v>
      </c>
      <c r="L8" s="48" t="inlineStr">
        <is>
          <t>8a-11a f9</t>
        </is>
      </c>
      <c r="M8" s="48" t="n">
        <v>3</v>
      </c>
      <c r="N8" s="48" t="n"/>
      <c r="O8" s="18" t="n"/>
      <c r="P8" s="3">
        <f>SUM(O8,M8,K8,I8,G8,E8,C8)</f>
        <v/>
      </c>
    </row>
    <row r="9" ht="32" customHeight="1">
      <c r="A9" s="127" t="inlineStr">
        <is>
          <t>Pablo</t>
        </is>
      </c>
      <c r="B9" s="38" t="n"/>
      <c r="C9" s="48" t="n"/>
      <c r="D9" s="48" t="inlineStr">
        <is>
          <t>12p-4p inventories</t>
        </is>
      </c>
      <c r="E9" s="48" t="n">
        <v>4</v>
      </c>
      <c r="F9" s="48" t="inlineStr">
        <is>
          <t>8a-3:30p f9 B@1:30pm</t>
        </is>
      </c>
      <c r="G9" s="48" t="n">
        <v>7</v>
      </c>
      <c r="H9" s="48" t="inlineStr">
        <is>
          <t>11:30a-7p f9</t>
        </is>
      </c>
      <c r="I9" s="48" t="n">
        <v>7</v>
      </c>
      <c r="J9" s="48" t="n"/>
      <c r="K9" s="48" t="n"/>
      <c r="L9" s="60" t="inlineStr">
        <is>
          <t>CC 2p-4 f12/ 4-7p f8</t>
        </is>
      </c>
      <c r="M9" s="47" t="n">
        <v>5</v>
      </c>
      <c r="N9" s="48" t="n"/>
      <c r="O9" s="18" t="n"/>
      <c r="P9" s="3">
        <f>SUM(O9,M9,K9,I9,G9,E9,C9)</f>
        <v/>
      </c>
    </row>
    <row r="10" ht="16" customHeight="1">
      <c r="A10" s="128" t="inlineStr">
        <is>
          <t>Taran</t>
        </is>
      </c>
      <c r="B10" s="38" t="n"/>
      <c r="C10" s="48" t="n"/>
      <c r="D10" s="38" t="n"/>
      <c r="E10" s="48" t="n"/>
      <c r="F10" s="48" t="n"/>
      <c r="G10" s="48" t="n"/>
      <c r="H10" s="129" t="inlineStr">
        <is>
          <t>8a-11:30a f9</t>
        </is>
      </c>
      <c r="I10" s="48" t="n">
        <v>3.5</v>
      </c>
      <c r="J10" s="129" t="inlineStr">
        <is>
          <t>8a-11:30a f8/ 3:30p-7p f9</t>
        </is>
      </c>
      <c r="K10" s="48" t="n">
        <v>7</v>
      </c>
      <c r="L10" s="38" t="n"/>
      <c r="M10" s="48" t="n"/>
      <c r="N10" s="48" t="n"/>
      <c r="O10" s="18" t="n"/>
      <c r="P10" s="3">
        <f>SUM(O10,M10,K10,I10,G10,E10,C10)</f>
        <v/>
      </c>
    </row>
    <row r="11" ht="32" customHeight="1">
      <c r="A11" s="127" t="inlineStr">
        <is>
          <t>Karan</t>
        </is>
      </c>
      <c r="B11" s="156" t="inlineStr">
        <is>
          <t>CC 11a-7p f12 B@2:30</t>
        </is>
      </c>
      <c r="C11" s="48" t="n">
        <v>7.5</v>
      </c>
      <c r="D11" s="156" t="inlineStr">
        <is>
          <t>CC 11a-7p f12 B@3</t>
        </is>
      </c>
      <c r="E11" s="48" t="n">
        <v>7.5</v>
      </c>
      <c r="F11" s="157" t="inlineStr">
        <is>
          <t>CC 11a-7p f12 B@3:30</t>
        </is>
      </c>
      <c r="G11" s="48" t="n">
        <v>7.5</v>
      </c>
      <c r="H11" s="130" t="n"/>
      <c r="I11" s="48" t="n"/>
      <c r="J11" s="136" t="n"/>
      <c r="K11" s="48" t="n"/>
      <c r="L11" s="159" t="n"/>
      <c r="M11" s="47" t="n"/>
      <c r="N11" s="48" t="n"/>
      <c r="O11" s="18" t="n"/>
      <c r="P11" s="3">
        <f>SUM(O11,M11,K11,I11,G11,E11,C11)</f>
        <v/>
      </c>
    </row>
    <row r="12" ht="16" customHeight="1">
      <c r="A12" s="127" t="inlineStr">
        <is>
          <t>Kavya</t>
        </is>
      </c>
      <c r="B12" s="48" t="inlineStr">
        <is>
          <t>11:30a-6p f8</t>
        </is>
      </c>
      <c r="C12" s="48" t="n">
        <v>6</v>
      </c>
      <c r="D12" s="56" t="inlineStr">
        <is>
          <t>11:30a-4:30p CC f12</t>
        </is>
      </c>
      <c r="E12" s="48" t="n">
        <v>5</v>
      </c>
      <c r="F12" s="155" t="n"/>
      <c r="G12" s="48" t="n"/>
      <c r="H12" s="135" t="n"/>
      <c r="I12" s="48" t="n"/>
      <c r="J12" s="48" t="inlineStr">
        <is>
          <t>8a-6p f8</t>
        </is>
      </c>
      <c r="K12" s="48" t="n">
        <v>9.5</v>
      </c>
      <c r="L12" s="101" t="n"/>
      <c r="M12" s="47" t="n"/>
      <c r="N12" s="48" t="n"/>
      <c r="O12" s="18" t="n"/>
      <c r="P12" s="3">
        <f>SUM(O12,M12,K12,I12,G12,E12,C12)</f>
        <v/>
      </c>
    </row>
    <row r="13" ht="32" customHeight="1">
      <c r="A13" s="127" t="inlineStr">
        <is>
          <t>Chinnesha</t>
        </is>
      </c>
      <c r="B13" s="48" t="n"/>
      <c r="C13" s="48" t="n"/>
      <c r="D13" s="133" t="inlineStr">
        <is>
          <t xml:space="preserve">CC 8a-11:30a f12 </t>
        </is>
      </c>
      <c r="E13" s="48" t="n">
        <v>3.5</v>
      </c>
      <c r="F13" s="60" t="inlineStr">
        <is>
          <t xml:space="preserve">CC 8a-3p f12 </t>
        </is>
      </c>
      <c r="G13" s="48" t="n">
        <v>6.5</v>
      </c>
      <c r="H13" s="158" t="inlineStr">
        <is>
          <t>CC 8a-3p f12 B@1p</t>
        </is>
      </c>
      <c r="I13" s="48" t="n">
        <v>6.5</v>
      </c>
      <c r="J13" s="48" t="n"/>
      <c r="K13" s="48" t="n"/>
      <c r="L13" s="101" t="inlineStr">
        <is>
          <t>CC 8a-4p f8 B@2p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64" customHeight="1">
      <c r="A14" s="127" t="inlineStr">
        <is>
          <t>Osmaro</t>
        </is>
      </c>
      <c r="B14" s="135" t="n"/>
      <c r="C14" s="48" t="n"/>
      <c r="D14" s="136" t="inlineStr">
        <is>
          <t>12:30-1p f9/ 1-1:30 f8/ 1:30@B / 2-7p f9</t>
        </is>
      </c>
      <c r="E14" s="48" t="n">
        <v>6</v>
      </c>
      <c r="F14" s="157" t="inlineStr">
        <is>
          <t>1:30-2 f9/2-2:30 w f8/ 2:30-3p w fran /B@3p-3:30p /3:30p-7p f9 Closer</t>
        </is>
      </c>
      <c r="G14" s="48" t="n">
        <v>5</v>
      </c>
      <c r="H14" s="156" t="inlineStr">
        <is>
          <t>CC 12:30p-7p f12 B@2:30</t>
        </is>
      </c>
      <c r="I14" s="48" t="n">
        <v>6</v>
      </c>
      <c r="J14" s="156" t="inlineStr">
        <is>
          <t>CC 12:30p-7p f12 B@2:30</t>
        </is>
      </c>
      <c r="K14" s="48" t="n">
        <v>6</v>
      </c>
      <c r="L14" s="56" t="n"/>
      <c r="M14" s="48" t="n"/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 xml:space="preserve">Leonardo </t>
        </is>
      </c>
      <c r="B15" s="48" t="inlineStr">
        <is>
          <t>3:30p-7p f9</t>
        </is>
      </c>
      <c r="C15" s="48" t="n">
        <v>3.5</v>
      </c>
      <c r="D15" s="48" t="inlineStr">
        <is>
          <t>8a-6p f8 B@1p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3:30p-7p f9</t>
        </is>
      </c>
      <c r="M15" s="48" t="n">
        <v>3.5</v>
      </c>
      <c r="N15" s="48" t="n"/>
      <c r="O15" s="18" t="n"/>
      <c r="P15" s="3">
        <f>SUM(O15,M15,K15,I15,G15,E15,C15)</f>
        <v/>
      </c>
    </row>
    <row r="16" ht="16" customHeight="1">
      <c r="A16" s="128" t="inlineStr">
        <is>
          <t xml:space="preserve">Marina </t>
        </is>
      </c>
      <c r="B16" s="36" t="inlineStr">
        <is>
          <t>8a-11:30a f8</t>
        </is>
      </c>
      <c r="C16" s="48" t="n">
        <v>3.5</v>
      </c>
      <c r="D16" s="38" t="n"/>
      <c r="E16" s="48" t="n"/>
      <c r="F16" s="48" t="inlineStr">
        <is>
          <t>8a-6p f8 B@2p</t>
        </is>
      </c>
      <c r="G16" s="48" t="n">
        <v>9.5</v>
      </c>
      <c r="H16" s="48" t="inlineStr">
        <is>
          <t>8a-6p f8</t>
        </is>
      </c>
      <c r="I16" s="48" t="n">
        <v>9.5</v>
      </c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 wk3</t>
        </is>
      </c>
      <c r="B17" s="84" t="n"/>
      <c r="C17" s="82" t="n"/>
      <c r="D17" s="84" t="inlineStr">
        <is>
          <t>11a-7p f9 TR</t>
        </is>
      </c>
      <c r="E17" s="82" t="n">
        <v>7.5</v>
      </c>
      <c r="F17" s="138" t="inlineStr">
        <is>
          <t>9a-2p Tr f9</t>
        </is>
      </c>
      <c r="G17" s="82" t="n">
        <v>5</v>
      </c>
      <c r="H17" s="139" t="inlineStr">
        <is>
          <t>12:30-3p tr f9</t>
        </is>
      </c>
      <c r="I17" s="82" t="n">
        <v>2.5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 wk4</t>
        </is>
      </c>
      <c r="B18" s="84" t="inlineStr">
        <is>
          <t>11a-7p f9 TR</t>
        </is>
      </c>
      <c r="C18" s="82" t="n">
        <v>7.5</v>
      </c>
      <c r="D18" s="138" t="n"/>
      <c r="E18" s="82" t="n"/>
      <c r="F18" s="142" t="n"/>
      <c r="G18" s="82" t="n"/>
      <c r="H18" s="143" t="n"/>
      <c r="I18" s="82" t="n"/>
      <c r="J18" s="48" t="inlineStr">
        <is>
          <t>8a-4p f9 (solo 3-3:30)</t>
        </is>
      </c>
      <c r="K18" s="48" t="n">
        <v>7.5</v>
      </c>
      <c r="L18" s="84" t="n"/>
      <c r="M18" s="82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inlineStr">
        <is>
          <t>8a-11:30a IBU Ops</t>
        </is>
      </c>
      <c r="C19" s="18" t="n">
        <v>3.5</v>
      </c>
      <c r="D19" s="143" t="inlineStr">
        <is>
          <t>8a-10a IBU Ops</t>
        </is>
      </c>
      <c r="E19" s="18" t="n">
        <v>2</v>
      </c>
      <c r="F19" s="135" t="n"/>
      <c r="G19" s="18" t="n"/>
      <c r="H19" s="82" t="inlineStr">
        <is>
          <t>8a-10a event/ 10a-12p help ops</t>
        </is>
      </c>
      <c r="I19" s="18" t="n">
        <v>4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19" customHeight="1">
      <c r="A24" s="145" t="inlineStr">
        <is>
          <t>AVAILABILITIES</t>
        </is>
      </c>
    </row>
    <row r="25" ht="19" customHeight="1">
      <c r="A25" s="146" t="inlineStr">
        <is>
          <t>Blank = Anytime/ all day</t>
        </is>
      </c>
    </row>
    <row r="26" ht="19" customHeight="1">
      <c r="A26" s="147" t="inlineStr">
        <is>
          <t>Until 12p</t>
        </is>
      </c>
    </row>
    <row r="27" ht="19" customHeight="1">
      <c r="A27" s="148" t="inlineStr">
        <is>
          <t>UNTIL 3pm</t>
        </is>
      </c>
      <c r="D27" t="inlineStr">
        <is>
          <t xml:space="preserve"> </t>
        </is>
      </c>
    </row>
    <row r="28" ht="19" customHeight="1">
      <c r="A28" s="149" t="inlineStr">
        <is>
          <t>After 3:30pm</t>
        </is>
      </c>
    </row>
    <row r="29" ht="19" customHeight="1">
      <c r="A29" s="150" t="inlineStr">
        <is>
          <t>12-3p</t>
        </is>
      </c>
    </row>
    <row r="30" ht="19" customHeight="1">
      <c r="A30" s="151" t="inlineStr">
        <is>
          <t>after 12 - eod</t>
        </is>
      </c>
    </row>
    <row r="31" ht="19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J3" sqref="J3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  <col width="26.5" bestFit="1" customWidth="1" min="18" max="18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45957</v>
      </c>
      <c r="C2" s="6" t="n"/>
      <c r="D2" s="5" t="n">
        <v>45958</v>
      </c>
      <c r="E2" s="6" t="n"/>
      <c r="F2" s="5" t="n">
        <v>45959</v>
      </c>
      <c r="G2" s="6" t="n"/>
      <c r="H2" s="5" t="n">
        <v>45960</v>
      </c>
      <c r="I2" s="6" t="n"/>
      <c r="J2" s="5" t="n">
        <v>45961</v>
      </c>
      <c r="K2" s="6" t="n"/>
      <c r="L2" s="5" t="n">
        <v>45962</v>
      </c>
      <c r="M2" s="6" t="n"/>
      <c r="N2" s="5" t="n">
        <v>45963</v>
      </c>
      <c r="O2" s="7" t="n"/>
      <c r="P2" s="3" t="n"/>
    </row>
    <row r="3" ht="90.5" customHeight="1">
      <c r="A3" s="8" t="inlineStr">
        <is>
          <t>EVENTS</t>
        </is>
      </c>
      <c r="B3" s="126" t="inlineStr">
        <is>
          <t>READING WEEK</t>
        </is>
      </c>
      <c r="C3" s="10" t="n"/>
      <c r="D3" s="126" t="inlineStr">
        <is>
          <t>READING WEEK / Georgian College exec meet F9 meeting room 10am/ Halloween STAFF  PARTY F10 12p-2p  // TENTATIVE MOU signing rm 1203 1-3pm</t>
        </is>
      </c>
      <c r="E3" s="10" t="n"/>
      <c r="F3" s="9" t="inlineStr">
        <is>
          <t>1st Day of Class</t>
        </is>
      </c>
      <c r="G3" s="11" t="n"/>
      <c r="H3" s="154" t="inlineStr">
        <is>
          <t>Halloween 12 to 2</t>
        </is>
      </c>
      <c r="I3" s="10" t="n"/>
      <c r="J3" s="9" t="inlineStr">
        <is>
          <t>OCTOBER + Marina Bdays 1pm</t>
        </is>
      </c>
      <c r="K3" s="10" t="n"/>
      <c r="L3" s="9" t="n"/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9a-5:30</t>
        </is>
      </c>
      <c r="C4" s="18" t="n">
        <v>8.5</v>
      </c>
      <c r="D4" s="19" t="inlineStr">
        <is>
          <t>10a-6p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9a-5:30p</t>
        </is>
      </c>
      <c r="E5" s="24" t="n">
        <v>8</v>
      </c>
      <c r="F5" s="26" t="inlineStr">
        <is>
          <t>9a-5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9a-4p</t>
        </is>
      </c>
      <c r="K5" s="24" t="n">
        <v>8</v>
      </c>
      <c r="L5" s="24" t="n"/>
      <c r="M5" s="95" t="n"/>
      <c r="N5" s="48" t="n"/>
      <c r="O5" s="18" t="n"/>
      <c r="P5" s="3">
        <f>SUM(O5,M5,K5,I5,G5,E5,C5)</f>
        <v/>
      </c>
    </row>
    <row r="6" ht="32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>CC 8a-12p f8 new media rm *8a-10:20a*</t>
        </is>
      </c>
      <c r="E6" s="48" t="n">
        <v>2.5</v>
      </c>
      <c r="F6" s="44" t="inlineStr">
        <is>
          <t>c/o</t>
        </is>
      </c>
      <c r="G6" s="48" t="n">
        <v>0</v>
      </c>
      <c r="H6" s="44" t="inlineStr">
        <is>
          <t>c/o</t>
        </is>
      </c>
      <c r="I6" s="48" t="n">
        <v>0</v>
      </c>
      <c r="J6" s="44" t="inlineStr">
        <is>
          <t>CC 8a-12p rm 1003</t>
        </is>
      </c>
      <c r="K6" s="48" t="n">
        <v>4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48" customHeight="1">
      <c r="A7" s="128" t="inlineStr">
        <is>
          <t>Sri</t>
        </is>
      </c>
      <c r="B7" s="48" t="n"/>
      <c r="C7" s="48" t="n"/>
      <c r="D7" s="48" t="inlineStr">
        <is>
          <t>11a-1p f9/ 1-7 inventories + projs (3-5pm w Aashima)</t>
        </is>
      </c>
      <c r="E7" s="48" t="n">
        <v>7.5</v>
      </c>
      <c r="F7" s="82" t="inlineStr">
        <is>
          <t>3:30p-7p f9</t>
        </is>
      </c>
      <c r="G7" s="18" t="n">
        <v>3.5</v>
      </c>
      <c r="H7" s="136" t="inlineStr">
        <is>
          <t>11:30a-7p f9</t>
        </is>
      </c>
      <c r="I7" s="48" t="n">
        <v>7</v>
      </c>
      <c r="J7" s="153" t="n"/>
      <c r="K7" s="48" t="n"/>
      <c r="L7" s="48" t="inlineStr">
        <is>
          <t>8a-2:30p f9</t>
        </is>
      </c>
      <c r="M7" s="48" t="n">
        <v>6</v>
      </c>
      <c r="N7" s="48" t="n"/>
      <c r="O7" s="18" t="n"/>
      <c r="P7" s="3">
        <f>SUM(O7,M7,K7,I7,G7,E7,C7)</f>
        <v/>
      </c>
    </row>
    <row r="8" ht="48" customHeight="1">
      <c r="A8" s="127" t="inlineStr">
        <is>
          <t>Daria</t>
        </is>
      </c>
      <c r="B8" s="48" t="inlineStr">
        <is>
          <t>8a-1p f9 B@1/ 1:30-2:30pm w Aashima proj.)</t>
        </is>
      </c>
      <c r="C8" s="48" t="n">
        <v>6</v>
      </c>
      <c r="D8" s="48" t="inlineStr">
        <is>
          <t>RO</t>
        </is>
      </c>
      <c r="E8" s="48" t="n"/>
      <c r="F8" s="48" t="inlineStr">
        <is>
          <t>3p-3:30 f8/ 3:330-4p CC f12/ 4-7p f9</t>
        </is>
      </c>
      <c r="G8" s="18" t="n">
        <v>4</v>
      </c>
      <c r="H8" s="76" t="inlineStr">
        <is>
          <t>RO</t>
        </is>
      </c>
      <c r="I8" s="48" t="n"/>
      <c r="J8" s="56" t="inlineStr">
        <is>
          <t>CC 8a-4p f8 B@1p</t>
        </is>
      </c>
      <c r="K8" s="48" t="n">
        <v>7.5</v>
      </c>
      <c r="L8" s="82" t="inlineStr">
        <is>
          <t>2p-7p f9</t>
        </is>
      </c>
      <c r="M8" s="18" t="n">
        <v>5</v>
      </c>
      <c r="N8" s="48" t="n"/>
      <c r="O8" s="18" t="n"/>
      <c r="P8" s="3">
        <f>SUM(O8,M8,K8,I8,G8,E8,C8)</f>
        <v/>
      </c>
    </row>
    <row r="9" ht="48" customHeight="1">
      <c r="A9" s="127" t="inlineStr">
        <is>
          <t>Pablo</t>
        </is>
      </c>
      <c r="B9" s="38" t="n"/>
      <c r="C9" s="48" t="n"/>
      <c r="D9" s="48" t="inlineStr">
        <is>
          <t>8a-11a Set-up Campus/ B@11/ 11:30-3p event/ 3-5pm w Aashima</t>
        </is>
      </c>
      <c r="E9" s="48" t="n">
        <v>8.5</v>
      </c>
      <c r="F9" s="48" t="inlineStr">
        <is>
          <t>8a-4p f9 train Jyoti</t>
        </is>
      </c>
      <c r="G9" s="48" t="n">
        <v>7.5</v>
      </c>
      <c r="H9" s="48" t="inlineStr">
        <is>
          <t>RO</t>
        </is>
      </c>
      <c r="I9" s="48" t="n"/>
      <c r="J9" s="48" t="inlineStr">
        <is>
          <t xml:space="preserve">8a-4 MOVE Christina's office to f8 new studio/ re organize </t>
        </is>
      </c>
      <c r="K9" s="48" t="n">
        <v>7.5</v>
      </c>
      <c r="L9" s="48" t="n"/>
      <c r="M9" s="48" t="n"/>
      <c r="N9" s="48" t="n"/>
      <c r="O9" s="18" t="n"/>
      <c r="P9" s="3">
        <f>SUM(O9,M9,K9,I9,G9,E9,C9)</f>
        <v/>
      </c>
    </row>
    <row r="10" ht="16" customHeight="1">
      <c r="A10" s="128" t="inlineStr">
        <is>
          <t>Taran</t>
        </is>
      </c>
      <c r="B10" s="38" t="n"/>
      <c r="C10" s="48" t="n"/>
      <c r="D10" s="38" t="n"/>
      <c r="E10" s="48" t="n"/>
      <c r="F10" s="45" t="inlineStr">
        <is>
          <t>8a-6p f8 B@3p</t>
        </is>
      </c>
      <c r="G10" s="48" t="n">
        <v>9.5</v>
      </c>
      <c r="H10" s="129" t="inlineStr">
        <is>
          <t>8a-12p f8</t>
        </is>
      </c>
      <c r="I10" s="48" t="n">
        <v>4</v>
      </c>
      <c r="J10" s="129" t="n"/>
      <c r="K10" s="48" t="n"/>
      <c r="L10" s="38" t="n"/>
      <c r="M10" s="48" t="n"/>
      <c r="N10" s="48" t="n"/>
      <c r="O10" s="18" t="n"/>
      <c r="P10" s="3">
        <f>SUM(O10,M10,K10,I10,G10,E10,C10)</f>
        <v/>
      </c>
    </row>
    <row r="11" ht="16" customHeight="1">
      <c r="A11" s="127" t="inlineStr">
        <is>
          <t>Karan</t>
        </is>
      </c>
      <c r="B11" s="45" t="n"/>
      <c r="C11" s="48" t="n"/>
      <c r="D11" s="45" t="n"/>
      <c r="E11" s="48" t="n"/>
      <c r="F11" s="45" t="inlineStr">
        <is>
          <t>CC 11a-7pf12 B@3:30</t>
        </is>
      </c>
      <c r="G11" s="48" t="n">
        <v>7.5</v>
      </c>
      <c r="H11" s="130" t="n"/>
      <c r="I11" s="48" t="n"/>
      <c r="J11" s="48" t="n"/>
      <c r="K11" s="48" t="n"/>
      <c r="L11" s="101" t="n"/>
      <c r="M11" s="47" t="n"/>
      <c r="N11" s="48" t="n"/>
      <c r="O11" s="18" t="n"/>
      <c r="P11" s="3">
        <f>SUM(O11,M11,K11,I11,G11,E11,C11)</f>
        <v/>
      </c>
    </row>
    <row r="12" ht="16" customHeight="1">
      <c r="A12" s="127" t="inlineStr">
        <is>
          <t>Kavya</t>
        </is>
      </c>
      <c r="B12" s="45" t="inlineStr">
        <is>
          <t>CC 8a-5p f8 B@1:15</t>
        </is>
      </c>
      <c r="C12" s="48" t="n">
        <v>8.5</v>
      </c>
      <c r="D12" s="45" t="n"/>
      <c r="E12" s="48" t="n"/>
      <c r="F12" s="131" t="n"/>
      <c r="G12" s="48" t="n"/>
      <c r="H12" s="132" t="n"/>
      <c r="I12" s="48" t="n"/>
      <c r="J12" s="48" t="n"/>
      <c r="K12" s="48" t="n"/>
      <c r="L12" s="101" t="n"/>
      <c r="M12" s="47" t="n"/>
      <c r="N12" s="48" t="n"/>
      <c r="O12" s="18" t="n"/>
      <c r="P12" s="3">
        <f>SUM(O12,M12,K12,I12,G12,E12,C12)</f>
        <v/>
      </c>
    </row>
    <row r="13" ht="32" customHeight="1">
      <c r="A13" s="127" t="inlineStr">
        <is>
          <t>Chinnesha</t>
        </is>
      </c>
      <c r="B13" s="56" t="n"/>
      <c r="C13" s="48" t="n"/>
      <c r="D13" s="45" t="inlineStr">
        <is>
          <t>CC 8a-5p f9 B@12:30p</t>
        </is>
      </c>
      <c r="E13" s="48" t="n">
        <v>8.5</v>
      </c>
      <c r="F13" s="133" t="inlineStr">
        <is>
          <t>CC 8a-11:30a f12</t>
        </is>
      </c>
      <c r="G13" s="48" t="n">
        <v>3.5</v>
      </c>
      <c r="H13" s="134" t="inlineStr">
        <is>
          <t>CC 8a-3p f12 B@12:30</t>
        </is>
      </c>
      <c r="I13" s="48" t="n">
        <v>6.5</v>
      </c>
      <c r="J13" s="56" t="inlineStr">
        <is>
          <t>CC 11a-7p f12 B@3:30p</t>
        </is>
      </c>
      <c r="K13" s="48" t="n">
        <v>7.5</v>
      </c>
      <c r="L13" s="56" t="inlineStr">
        <is>
          <t>2p-2:30 CCf8/ CC 2:30-7p f12</t>
        </is>
      </c>
      <c r="M13" s="61" t="n">
        <v>5</v>
      </c>
      <c r="N13" s="48" t="n"/>
      <c r="O13" s="18" t="n"/>
      <c r="P13" s="3">
        <f>SUM(O13,M13,K13,I13,G13,E13,C13)</f>
        <v/>
      </c>
    </row>
    <row r="14" ht="32" customHeight="1">
      <c r="A14" s="127" t="inlineStr">
        <is>
          <t>Osmaro</t>
        </is>
      </c>
      <c r="B14" s="135" t="inlineStr">
        <is>
          <t>CC 1p-7p f9 B@3:30</t>
        </is>
      </c>
      <c r="C14" s="48" t="n">
        <v>5.5</v>
      </c>
      <c r="D14" s="136" t="inlineStr">
        <is>
          <t>CC 12:30p-1 f9/ CC1-5 f8/CC5-7p f9 B@3:30</t>
        </is>
      </c>
      <c r="E14" s="48" t="n">
        <v>6</v>
      </c>
      <c r="F14" s="136" t="n"/>
      <c r="G14" s="48" t="n"/>
      <c r="H14" s="132" t="inlineStr">
        <is>
          <t>CC 12:30p-7p f12 B@2:30</t>
        </is>
      </c>
      <c r="I14" s="48" t="n">
        <v>6</v>
      </c>
      <c r="J14" s="136" t="n"/>
      <c r="K14" s="48" t="n"/>
      <c r="L14" s="101" t="inlineStr">
        <is>
          <t>CC 8a-6p f8 B@2p</t>
        </is>
      </c>
      <c r="M14" s="47" t="n">
        <v>9.5</v>
      </c>
      <c r="N14" s="48" t="n"/>
      <c r="O14" s="18" t="n"/>
      <c r="P14" s="3">
        <f>SUM(O14,M14,K14,I14,G14,E14,C14)</f>
        <v/>
      </c>
    </row>
    <row r="15" ht="16" customHeight="1">
      <c r="A15" s="128" t="inlineStr">
        <is>
          <t xml:space="preserve">Leonardo </t>
        </is>
      </c>
      <c r="B15" s="48" t="n"/>
      <c r="C15" s="48" t="n"/>
      <c r="D15" s="48" t="n"/>
      <c r="E15" s="48" t="n"/>
      <c r="F15" s="48" t="n"/>
      <c r="G15" s="48" t="n"/>
      <c r="H15" s="137" t="inlineStr">
        <is>
          <t>12p-6p f8</t>
        </is>
      </c>
      <c r="I15" s="48" t="n">
        <v>5.5</v>
      </c>
      <c r="J15" s="48" t="inlineStr">
        <is>
          <t>2-7p f9</t>
        </is>
      </c>
      <c r="K15" s="48" t="n">
        <v>5</v>
      </c>
      <c r="L15" s="129" t="n"/>
      <c r="M15" s="48" t="n"/>
      <c r="N15" s="48" t="n"/>
      <c r="O15" s="18" t="n"/>
      <c r="P15" s="3">
        <f>SUM(O15,M15,K15,I15,G15,E15,C15)</f>
        <v/>
      </c>
    </row>
    <row r="16" ht="32" customHeight="1">
      <c r="A16" s="128" t="inlineStr">
        <is>
          <t xml:space="preserve">Marina </t>
        </is>
      </c>
      <c r="B16" s="36" t="n"/>
      <c r="C16" s="48" t="n"/>
      <c r="D16" s="38" t="n"/>
      <c r="E16" s="48" t="n"/>
      <c r="F16" s="48" t="n"/>
      <c r="G16" s="48" t="n"/>
      <c r="H16" s="48" t="inlineStr">
        <is>
          <t>8a-11:30a f9</t>
        </is>
      </c>
      <c r="I16" s="48" t="n">
        <v>3.5</v>
      </c>
      <c r="J16" s="48" t="inlineStr">
        <is>
          <t>8a-12p f9/ B@12/12:30-2 event</t>
        </is>
      </c>
      <c r="K16" s="48" t="n">
        <v>5.5</v>
      </c>
      <c r="L16" s="48" t="n"/>
      <c r="M16" s="48" t="n"/>
      <c r="N16" s="48" t="n"/>
      <c r="O16" s="18" t="n"/>
      <c r="P16" s="3">
        <f>SUM(O16,M16,K16,I16,G16,E16,C16)</f>
        <v/>
      </c>
    </row>
    <row r="17" ht="16" customHeight="1">
      <c r="A17" s="45" t="inlineStr">
        <is>
          <t>Jyoti Intern</t>
        </is>
      </c>
      <c r="B17" s="84" t="n"/>
      <c r="C17" s="82" t="n"/>
      <c r="D17" s="82" t="inlineStr">
        <is>
          <t>8a-5p w IBU OPS</t>
        </is>
      </c>
      <c r="E17" s="82" t="n">
        <v>8.5</v>
      </c>
      <c r="F17" s="138" t="inlineStr">
        <is>
          <t>8a-3p TR w Pablo f9 desk</t>
        </is>
      </c>
      <c r="G17" s="82" t="n">
        <v>6.5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 Intern</t>
        </is>
      </c>
      <c r="B18" s="84" t="n"/>
      <c r="C18" s="82" t="n"/>
      <c r="D18" s="138" t="n"/>
      <c r="E18" s="82" t="n"/>
      <c r="F18" s="142" t="n"/>
      <c r="G18" s="82" t="n"/>
      <c r="H18" s="143" t="inlineStr">
        <is>
          <t>12p-2p f9 desk TR</t>
        </is>
      </c>
      <c r="I18" s="82" t="n">
        <v>2</v>
      </c>
      <c r="J18" s="84" t="inlineStr">
        <is>
          <t>8a-4p desk f9 TR</t>
        </is>
      </c>
      <c r="K18" s="82" t="n">
        <v>7.5</v>
      </c>
      <c r="L18" s="138" t="inlineStr">
        <is>
          <t xml:space="preserve">8a-2p TR f9 </t>
        </is>
      </c>
      <c r="M18" s="45" t="n">
        <v>5.5</v>
      </c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16" t="n"/>
      <c r="C19" s="18" t="n"/>
      <c r="D19" s="143" t="n"/>
      <c r="E19" s="18" t="n"/>
      <c r="F19" s="144" t="n"/>
      <c r="G19" s="18" t="n"/>
      <c r="H19" s="82" t="inlineStr">
        <is>
          <t>8a-3p HELP IBU OPS + EVENT</t>
        </is>
      </c>
      <c r="I19" s="18" t="n">
        <v>6.5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SUM(K8:K19)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19" customHeight="1">
      <c r="A24" s="145" t="inlineStr">
        <is>
          <t>AVAILABILITIES</t>
        </is>
      </c>
    </row>
    <row r="25" ht="19" customHeight="1">
      <c r="A25" s="146" t="inlineStr">
        <is>
          <t>Blank = Anytime/ all day</t>
        </is>
      </c>
    </row>
    <row r="26" ht="19" customHeight="1">
      <c r="A26" s="147" t="inlineStr">
        <is>
          <t>Until 12p</t>
        </is>
      </c>
    </row>
    <row r="27" ht="19" customHeight="1">
      <c r="A27" s="148" t="inlineStr">
        <is>
          <t>UNTIL 3pm</t>
        </is>
      </c>
      <c r="D27" t="inlineStr">
        <is>
          <t xml:space="preserve"> </t>
        </is>
      </c>
    </row>
    <row r="28" ht="19" customHeight="1">
      <c r="A28" s="149" t="inlineStr">
        <is>
          <t>After 3:30pm</t>
        </is>
      </c>
    </row>
    <row r="29" ht="19" customHeight="1">
      <c r="A29" s="150" t="inlineStr">
        <is>
          <t>12-3p</t>
        </is>
      </c>
    </row>
    <row r="30" ht="19" customHeight="1">
      <c r="A30" s="151" t="inlineStr">
        <is>
          <t>after 12 - eod</t>
        </is>
      </c>
    </row>
    <row r="31" ht="19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70" zoomScaleNormal="70" workbookViewId="0">
      <selection activeCell="D1" sqref="D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1.1640625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6.33203125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45950</v>
      </c>
      <c r="C2" s="6" t="n"/>
      <c r="D2" s="5" t="n">
        <v>45951</v>
      </c>
      <c r="E2" s="6" t="n"/>
      <c r="F2" s="5" t="n">
        <v>45952</v>
      </c>
      <c r="G2" s="6" t="n"/>
      <c r="H2" s="5" t="n">
        <v>45953</v>
      </c>
      <c r="I2" s="6" t="n"/>
      <c r="J2" s="5" t="n">
        <v>45954</v>
      </c>
      <c r="K2" s="6" t="n"/>
      <c r="L2" s="5" t="n">
        <v>45955</v>
      </c>
      <c r="M2" s="6" t="n"/>
      <c r="N2" s="5" t="n">
        <v>45956</v>
      </c>
      <c r="O2" s="7" t="n"/>
      <c r="P2" s="3" t="n"/>
    </row>
    <row r="3" ht="69.5" customHeight="1">
      <c r="A3" s="8" t="inlineStr">
        <is>
          <t>EVENTS</t>
        </is>
      </c>
      <c r="B3" s="122" t="inlineStr">
        <is>
          <t>Network with the best : 10:00 to 11: 30 am CS event   +  Setup for Asiye/Michael final exam Venue :1001/2/3</t>
        </is>
      </c>
      <c r="C3" s="10" t="n"/>
      <c r="D3" s="124" t="inlineStr">
        <is>
          <t>Enterpreneurial Mindset Exec Meet - 1201, 10 - 1pm/ASAAP meet - 9f Meeting room - 1- 4pm/  EXAMS- 10th floor -1001/2/3</t>
        </is>
      </c>
      <c r="E3" s="10" t="n"/>
      <c r="F3" s="9" t="inlineStr">
        <is>
          <t>CLASSES/ EXAMS?</t>
        </is>
      </c>
      <c r="G3" s="11" t="n"/>
      <c r="H3" s="9" t="inlineStr">
        <is>
          <t>Reading week</t>
        </is>
      </c>
      <c r="I3" s="10" t="n"/>
      <c r="J3" s="9" t="inlineStr">
        <is>
          <t xml:space="preserve">Reading week / setup for Saturday </t>
        </is>
      </c>
      <c r="K3" s="10" t="n"/>
      <c r="L3" s="93" t="inlineStr">
        <is>
          <t xml:space="preserve">Reading week /  EVENT 3p-5p VIP Minister 10F/ 5 to 6 VIP meeting - 9th meeting room 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9a-8p</t>
        </is>
      </c>
      <c r="E4" s="18" t="n">
        <v>11</v>
      </c>
      <c r="F4" s="19" t="inlineStr">
        <is>
          <t>9a-5</t>
        </is>
      </c>
      <c r="G4" s="18" t="n">
        <v>8</v>
      </c>
      <c r="H4" s="19" t="inlineStr">
        <is>
          <t>9a-6p</t>
        </is>
      </c>
      <c r="I4" s="18" t="n">
        <v>9</v>
      </c>
      <c r="J4" s="19" t="inlineStr">
        <is>
          <t>10:30-4</t>
        </is>
      </c>
      <c r="K4" s="18" t="n">
        <v>5.5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 1on1 w Leo</t>
        </is>
      </c>
      <c r="C5" s="18" t="n">
        <v>8</v>
      </c>
      <c r="D5" s="26" t="inlineStr">
        <is>
          <t>9a-5 1on1 w Kavya</t>
        </is>
      </c>
      <c r="E5" s="18" t="n">
        <v>8</v>
      </c>
      <c r="F5" s="26" t="inlineStr">
        <is>
          <t>9a-5  1on1 w Marina</t>
        </is>
      </c>
      <c r="G5" s="18" t="n">
        <v>8</v>
      </c>
      <c r="H5" s="125" t="inlineStr">
        <is>
          <t>9a-12 w Sri/ 1-2 w Chineesha/ 2-5 w Sri</t>
        </is>
      </c>
      <c r="I5" s="18" t="n">
        <v>5</v>
      </c>
      <c r="J5" s="26" t="inlineStr">
        <is>
          <t>OFF SITE 6:30a-12:30p</t>
        </is>
      </c>
      <c r="K5" s="18" t="n">
        <v>6</v>
      </c>
      <c r="L5" s="24" t="inlineStr">
        <is>
          <t>12p-5p 1on1 w Aya + event</t>
        </is>
      </c>
      <c r="M5" s="18" t="n">
        <v>5</v>
      </c>
      <c r="N5" s="24" t="n"/>
      <c r="O5" s="18" t="n"/>
      <c r="P5" s="3">
        <f>SUM(O5,M5,K5,I5,G5,E5,C5)</f>
        <v/>
      </c>
    </row>
    <row r="6" ht="32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RO</t>
        </is>
      </c>
      <c r="E6" s="48" t="n">
        <v>4</v>
      </c>
      <c r="F6" s="36" t="inlineStr">
        <is>
          <t>8a-12p f8 new media rm</t>
        </is>
      </c>
      <c r="G6" s="48" t="n">
        <v>4</v>
      </c>
      <c r="H6" s="36" t="inlineStr">
        <is>
          <t>8a-12p f8 new media rm</t>
        </is>
      </c>
      <c r="I6" s="48" t="n">
        <v>4</v>
      </c>
      <c r="J6" s="44" t="inlineStr">
        <is>
          <t>CC 8a-12p f8 new media rm *8a-10:20a*</t>
        </is>
      </c>
      <c r="K6" s="48" t="n">
        <v>2.5</v>
      </c>
      <c r="L6" s="30" t="inlineStr">
        <is>
          <t>RO</t>
        </is>
      </c>
      <c r="M6" s="30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n"/>
      <c r="C7" s="48" t="n"/>
      <c r="D7" s="30" t="n"/>
      <c r="E7" s="48" t="n"/>
      <c r="F7" s="37" t="n"/>
      <c r="G7" s="18" t="n"/>
      <c r="H7" s="30" t="inlineStr">
        <is>
          <t>9a-12 Inventories w Aashima/ 12-2:30 solo/ B@2:30/ 3p-5p off site</t>
        </is>
      </c>
      <c r="I7" s="48" t="n">
        <v>7.5</v>
      </c>
      <c r="J7" s="30" t="inlineStr">
        <is>
          <t>8a-11:30 f9/ 12-4p Inventory projs</t>
        </is>
      </c>
      <c r="K7" s="48" t="n">
        <v>7.5</v>
      </c>
      <c r="L7" s="30" t="inlineStr">
        <is>
          <t>8a-5:30 f9</t>
        </is>
      </c>
      <c r="M7" s="48" t="n">
        <v>9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30" t="inlineStr">
        <is>
          <t>12p-6p f8</t>
        </is>
      </c>
      <c r="C8" s="48" t="n">
        <v>5.5</v>
      </c>
      <c r="D8" s="30" t="inlineStr">
        <is>
          <t>8a-2:30p f9</t>
        </is>
      </c>
      <c r="E8" s="48" t="n">
        <v>6</v>
      </c>
      <c r="F8" s="38" t="n"/>
      <c r="G8" s="18" t="n"/>
      <c r="H8" s="30" t="n"/>
      <c r="I8" s="48" t="n"/>
      <c r="J8" s="30" t="inlineStr">
        <is>
          <t>INTERN PROJECT 9:30a-2:30p</t>
        </is>
      </c>
      <c r="K8" s="48" t="n">
        <v>5</v>
      </c>
      <c r="L8" s="76" t="inlineStr">
        <is>
          <t>2p-7p f8</t>
        </is>
      </c>
      <c r="M8" s="18" t="n">
        <v>5</v>
      </c>
      <c r="N8" s="30" t="n"/>
      <c r="O8" s="18" t="n"/>
      <c r="P8" s="3">
        <f>SUM(O8,M8,K8,I8,G8,E8,C8)</f>
        <v/>
      </c>
    </row>
    <row r="9" ht="16" customHeight="1">
      <c r="A9" s="27" t="inlineStr">
        <is>
          <t>Pablo</t>
        </is>
      </c>
      <c r="B9" s="38" t="n"/>
      <c r="C9" s="48" t="n"/>
      <c r="D9" s="39" t="inlineStr">
        <is>
          <t>2:30p-7p f9</t>
        </is>
      </c>
      <c r="E9" s="48" t="n">
        <v>4.5</v>
      </c>
      <c r="F9" s="30" t="inlineStr">
        <is>
          <t>Set-up CAMPUS 12p-7p</t>
        </is>
      </c>
      <c r="G9" s="48" t="n">
        <v>6.5</v>
      </c>
      <c r="H9" s="30" t="inlineStr">
        <is>
          <t>Set-up CAMPUS 11a-6p</t>
        </is>
      </c>
      <c r="I9" s="48" t="n">
        <v>6.5</v>
      </c>
      <c r="J9" s="30" t="inlineStr">
        <is>
          <t>Set-up CAMPUS 11a-6p</t>
        </is>
      </c>
      <c r="K9" s="48" t="n">
        <v>6.5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56.25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8a-1:30 f9/ B@1:30/ 2-6p f8</t>
        </is>
      </c>
      <c r="G10" s="48" t="n">
        <v>9.5</v>
      </c>
      <c r="H10" s="30" t="inlineStr">
        <is>
          <t>8a-1p f9 no brk</t>
        </is>
      </c>
      <c r="I10" s="48" t="n">
        <v>5</v>
      </c>
      <c r="J10" s="33" t="inlineStr">
        <is>
          <t>3p-7p f9</t>
        </is>
      </c>
      <c r="K10" s="48" t="n">
        <v>4</v>
      </c>
      <c r="L10" s="38" t="n"/>
      <c r="M10" s="48" t="n"/>
      <c r="N10" s="30" t="n"/>
      <c r="O10" s="18" t="n"/>
      <c r="P10" s="3">
        <f>SUM(O10,M10,K10,I10,G10,E10,C10)</f>
        <v/>
      </c>
    </row>
    <row r="11" ht="24.7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11a-7pf12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8a-4p f8 B@2p</t>
        </is>
      </c>
      <c r="M11" s="47" t="n">
        <v>7.5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76" t="inlineStr">
        <is>
          <t>8a-11:30a f12 CC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8a-2 f8</t>
        </is>
      </c>
      <c r="I12" s="48" t="n">
        <v>5.5</v>
      </c>
      <c r="J12" s="102" t="inlineStr">
        <is>
          <t xml:space="preserve">8a-11a f8/B@11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>12p-7p f12 CC B@3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11:30a-2p f12CC B@1:30/ 2-7 f8</t>
        </is>
      </c>
      <c r="I13" s="48" t="n">
        <v>7</v>
      </c>
      <c r="J13" s="44" t="inlineStr">
        <is>
          <t>11a-7p f8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48" customHeight="1">
      <c r="A14" s="27" t="inlineStr">
        <is>
          <t>Osmaro</t>
        </is>
      </c>
      <c r="B14" s="30" t="inlineStr">
        <is>
          <t>2-7p f9 no brk</t>
        </is>
      </c>
      <c r="C14" s="48" t="n">
        <v>5</v>
      </c>
      <c r="D14" s="30" t="n"/>
      <c r="E14" s="48" t="n"/>
      <c r="F14" s="30" t="inlineStr">
        <is>
          <t>1:30p-7p f9</t>
        </is>
      </c>
      <c r="G14" s="48" t="n">
        <v>5</v>
      </c>
      <c r="H14" s="96" t="inlineStr">
        <is>
          <t>1p-7p f9</t>
        </is>
      </c>
      <c r="I14" s="48" t="n">
        <v>5.5</v>
      </c>
      <c r="J14" s="30" t="n"/>
      <c r="K14" s="48" t="n"/>
      <c r="L14" s="30" t="inlineStr">
        <is>
          <t>11a-5:30p events/ 5:30-7 close campus</t>
        </is>
      </c>
      <c r="M14" s="48" t="n">
        <v>7.5</v>
      </c>
      <c r="N14" s="30" t="n"/>
      <c r="O14" s="18" t="n"/>
      <c r="P14" s="3">
        <f>SUM(O14,M14,K14,I14,G14,E14,C14)</f>
        <v/>
      </c>
    </row>
    <row r="15" ht="32" customHeight="1">
      <c r="A15" s="27" t="inlineStr">
        <is>
          <t xml:space="preserve">Leonardo </t>
        </is>
      </c>
      <c r="B15" s="30" t="inlineStr">
        <is>
          <t>8a-12p f8</t>
        </is>
      </c>
      <c r="C15" s="48" t="n">
        <v>4</v>
      </c>
      <c r="D15" s="30" t="inlineStr">
        <is>
          <t>8a-6p f8</t>
        </is>
      </c>
      <c r="E15" s="48" t="n">
        <v>9.5</v>
      </c>
      <c r="F15" s="30" t="n"/>
      <c r="G15" s="48" t="n"/>
      <c r="H15" s="30" t="n"/>
      <c r="I15" s="48" t="n"/>
      <c r="J15" s="30" t="n"/>
      <c r="K15" s="48" t="n"/>
      <c r="L15" s="30" t="inlineStr">
        <is>
          <t>11a-7p events + set-up campus</t>
        </is>
      </c>
      <c r="M15" s="48" t="n">
        <v>7.5</v>
      </c>
      <c r="N15" s="30" t="n"/>
      <c r="O15" s="18" t="n"/>
      <c r="P15" s="3">
        <f>SUM(O15,M15,K15,I15,G15,E15,C15)</f>
        <v/>
      </c>
    </row>
    <row r="16" ht="16" customHeight="1">
      <c r="A16" s="27" t="inlineStr">
        <is>
          <t xml:space="preserve">Marina  </t>
        </is>
      </c>
      <c r="B16" s="30" t="inlineStr">
        <is>
          <t>8a-2p f9</t>
        </is>
      </c>
      <c r="C16" s="48" t="n">
        <v>5.5</v>
      </c>
      <c r="D16" s="30" t="n"/>
      <c r="E16" s="48" t="n"/>
      <c r="F16" s="30" t="inlineStr">
        <is>
          <t>8a-2p f8</t>
        </is>
      </c>
      <c r="G16" s="48" t="n">
        <v>5.5</v>
      </c>
      <c r="H16" s="30" t="n"/>
      <c r="I16" s="48" t="n"/>
      <c r="J16" s="30" t="n"/>
      <c r="K16" s="48" t="n"/>
      <c r="L16" s="30" t="n"/>
      <c r="M16" s="48" t="n"/>
      <c r="N16" s="30" t="n"/>
      <c r="O16" s="18" t="n"/>
      <c r="P16" s="3">
        <f>SUM(O16,M16,K16,I16,G16,E16,C16)</f>
        <v/>
      </c>
    </row>
    <row r="17" ht="16" customHeight="1">
      <c r="A17" s="45" t="inlineStr">
        <is>
          <t>Jyoti</t>
        </is>
      </c>
      <c r="B17" s="82" t="inlineStr">
        <is>
          <t>8a-12p w IBU ops</t>
        </is>
      </c>
      <c r="C17" s="82" t="n">
        <v>4</v>
      </c>
      <c r="D17" s="82" t="n"/>
      <c r="E17" s="82" t="n"/>
      <c r="F17" s="82" t="inlineStr">
        <is>
          <t>8a-1p w IBU ops</t>
        </is>
      </c>
      <c r="G17" s="82" t="n">
        <v>5</v>
      </c>
      <c r="H17" s="82" t="inlineStr">
        <is>
          <t>8:30a-2:30p w ibu ops</t>
        </is>
      </c>
      <c r="I17" s="82" t="n">
        <v>6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AYA</t>
        </is>
      </c>
      <c r="B18" s="82" t="n"/>
      <c r="C18" s="82" t="n"/>
      <c r="D18" s="82" t="n"/>
      <c r="E18" s="82" t="n"/>
      <c r="F18" s="85" t="inlineStr">
        <is>
          <t>4-7p w Pablo</t>
        </is>
      </c>
      <c r="G18" s="82" t="n">
        <v>3</v>
      </c>
      <c r="H18" s="82" t="n"/>
      <c r="I18" s="82" t="n"/>
      <c r="J18" s="84" t="inlineStr">
        <is>
          <t>8a-2:30 IBU Ops</t>
        </is>
      </c>
      <c r="K18" s="82" t="n">
        <v>6</v>
      </c>
      <c r="L18" s="82" t="inlineStr">
        <is>
          <t>8a-2:30p IBU Ops</t>
        </is>
      </c>
      <c r="M18" s="45" t="n">
        <v>6</v>
      </c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Francisco</t>
        </is>
      </c>
      <c r="B19" s="82" t="n"/>
      <c r="C19" s="18" t="n"/>
      <c r="D19" s="82" t="inlineStr">
        <is>
          <t>8a-10:30a</t>
        </is>
      </c>
      <c r="E19" s="18" t="n">
        <v>2.5</v>
      </c>
      <c r="F19" s="85" t="n"/>
      <c r="G19" s="18" t="inlineStr">
        <is>
          <t>.</t>
        </is>
      </c>
      <c r="H19" s="82" t="n"/>
      <c r="I19" s="18" t="n"/>
      <c r="J19" s="82" t="inlineStr">
        <is>
          <t>1p-6p w Pablo</t>
        </is>
      </c>
      <c r="K19" s="18" t="n">
        <v>5</v>
      </c>
      <c r="L19" s="18" t="inlineStr">
        <is>
          <t>2p-7p event +ibu ops</t>
        </is>
      </c>
      <c r="M19" s="51" t="n">
        <v>5</v>
      </c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70" zoomScaleNormal="70" workbookViewId="0">
      <selection activeCell="G6" sqref="G6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2.33203125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45943</v>
      </c>
      <c r="C2" s="6" t="n"/>
      <c r="D2" s="5" t="n">
        <v>45944</v>
      </c>
      <c r="E2" s="6" t="n"/>
      <c r="F2" s="5" t="n">
        <v>45945</v>
      </c>
      <c r="G2" s="6" t="n"/>
      <c r="H2" s="5" t="n">
        <v>45946</v>
      </c>
      <c r="I2" s="6" t="n"/>
      <c r="J2" s="5" t="n">
        <v>45947</v>
      </c>
      <c r="K2" s="6" t="n"/>
      <c r="L2" s="5" t="n">
        <v>45948</v>
      </c>
      <c r="M2" s="6" t="n"/>
      <c r="N2" s="5" t="n">
        <v>45949</v>
      </c>
      <c r="O2" s="7" t="n"/>
      <c r="P2" s="3" t="n"/>
    </row>
    <row r="3" ht="95.25" customHeight="1">
      <c r="A3" s="8" t="inlineStr">
        <is>
          <t>EVENTS</t>
        </is>
      </c>
      <c r="B3" s="9" t="inlineStr">
        <is>
          <t>THANKS GIVING STAT</t>
        </is>
      </c>
      <c r="C3" s="10" t="n"/>
      <c r="D3" s="118" t="inlineStr">
        <is>
          <t>Time: 2:00pm - 5:00 pm  Event :Entrepreneurial Mindset/ Capstone (Asima and Faculty) Venue :1001 / Tea and talk - 11-11:45pm rm 805</t>
        </is>
      </c>
      <c r="E3" s="10" t="n"/>
      <c r="F3" s="123" t="inlineStr">
        <is>
          <t>Time: 10am onwards Event :Diwali (student Led) Venue :1001/  1201 - Guest speaker CS -11-1 PM/Career Cafe : 12:00 - 1:30 -rm807/ Setup for next day Asiye / winnie exam - 1002+1003</t>
        </is>
      </c>
      <c r="G3" s="11" t="n"/>
      <c r="H3" s="119" t="inlineStr">
        <is>
          <t>Setup - 8:30- 3pm  Asiye - 1002 (classroom setup 40 chairs+ 40 table) /Winnie -1003 - 8:30 -12:30pm (40chairs+20tables)</t>
        </is>
      </c>
      <c r="I3" s="10" t="n"/>
      <c r="J3" s="119" t="inlineStr">
        <is>
          <t>Time: 3-7:30P Event :Julien's class+ networking event  Venue :1001</t>
        </is>
      </c>
      <c r="K3" s="10" t="n"/>
      <c r="L3" s="93" t="inlineStr">
        <is>
          <t>EXAMS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 xml:space="preserve">11:30a-7:30p 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STAT</t>
        </is>
      </c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8a-12p f10 no brk</t>
        </is>
      </c>
      <c r="I6" s="48" t="n">
        <v>4</v>
      </c>
      <c r="J6" s="36" t="inlineStr">
        <is>
          <t>8a-12p f8 meeting rm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32" customHeight="1">
      <c r="A7" s="27" t="inlineStr">
        <is>
          <t>Sri</t>
        </is>
      </c>
      <c r="B7" s="30" t="n"/>
      <c r="C7" s="48" t="n"/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8a-3p f9 B@11:30am</t>
        </is>
      </c>
      <c r="I7" s="48" t="n">
        <v>6.5</v>
      </c>
      <c r="J7" s="30" t="inlineStr">
        <is>
          <t>8a-11:30a f9</t>
        </is>
      </c>
      <c r="K7" s="48" t="n">
        <v>3.5</v>
      </c>
      <c r="L7" s="30" t="inlineStr">
        <is>
          <t>8a-4p inventories/ give brks/ help all</t>
        </is>
      </c>
      <c r="M7" s="48" t="n">
        <v>7.5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30" t="n"/>
      <c r="C8" s="48" t="n"/>
      <c r="D8" s="30" t="inlineStr">
        <is>
          <t>8a-1p f9</t>
        </is>
      </c>
      <c r="E8" s="48" t="n">
        <v>5</v>
      </c>
      <c r="F8" s="38" t="n"/>
      <c r="G8" s="18" t="n"/>
      <c r="H8" s="100" t="inlineStr">
        <is>
          <t xml:space="preserve">12p-12:30p f8/1p-2:30p f12CC/ 2:30p-7p f9 </t>
        </is>
      </c>
      <c r="I8" s="48" t="n">
        <v>5.5</v>
      </c>
      <c r="J8" s="120" t="inlineStr">
        <is>
          <t>2p-8:30p EVENT</t>
        </is>
      </c>
      <c r="K8" s="56" t="n">
        <v>6</v>
      </c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32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120" t="inlineStr">
        <is>
          <t xml:space="preserve">8a-12p help w events/ exams </t>
        </is>
      </c>
      <c r="I9" s="48" t="n">
        <v>4</v>
      </c>
      <c r="J9" s="30" t="inlineStr">
        <is>
          <t>8:30a-6p- f8  (Cover CC at 3:30pm)</t>
        </is>
      </c>
      <c r="K9" s="48" t="n">
        <v>9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3:30p-4 f8/ 4p-7p f9</t>
        </is>
      </c>
      <c r="K10" s="48" t="n">
        <v>3.5</v>
      </c>
      <c r="L10" s="38" t="n"/>
      <c r="M10" s="48" t="n"/>
      <c r="N10" s="30" t="n"/>
      <c r="O10" s="18" t="n"/>
      <c r="P10" s="3">
        <f>SUM(O10,M10,K10,I10,G10,E10,C10)</f>
        <v/>
      </c>
    </row>
    <row r="11" ht="80" customHeight="1">
      <c r="A11" s="27" t="inlineStr">
        <is>
          <t>Karan</t>
        </is>
      </c>
      <c r="B11" s="36" t="n"/>
      <c r="C11" s="48" t="n"/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 xml:space="preserve">8a-11a f12/B@11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n"/>
      <c r="C13" s="48" t="n"/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11a-7p f12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16" customHeight="1">
      <c r="A14" s="27" t="inlineStr">
        <is>
          <t>Osmaro</t>
        </is>
      </c>
      <c r="B14" s="30" t="n"/>
      <c r="C14" s="48" t="n"/>
      <c r="D14" s="3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20" t="inlineStr">
        <is>
          <t>2p-8:30p EVENT</t>
        </is>
      </c>
      <c r="K14" s="56" t="n">
        <v>6</v>
      </c>
      <c r="L14" s="36" t="n"/>
      <c r="M14" s="48" t="n"/>
      <c r="N14" s="30" t="n"/>
      <c r="O14" s="18" t="n"/>
      <c r="P14" s="3">
        <f>SUM(O14,M14,K14,I14,G14,E14,C14)</f>
        <v/>
      </c>
    </row>
    <row r="15" ht="32" customHeight="1">
      <c r="A15" s="27" t="inlineStr">
        <is>
          <t>Leonardo</t>
        </is>
      </c>
      <c r="B15" s="30" t="n"/>
      <c r="C15" s="48" t="n"/>
      <c r="D15" s="39" t="inlineStr">
        <is>
          <t>10a-6p EVENTS</t>
        </is>
      </c>
      <c r="E15" s="48" t="n">
        <v>7.5</v>
      </c>
      <c r="F15" s="100" t="n"/>
      <c r="G15" s="48" t="n"/>
      <c r="H15" s="30" t="n"/>
      <c r="I15" s="48" t="n"/>
      <c r="J15" s="100" t="n"/>
      <c r="K15" s="48" t="n"/>
      <c r="L15" s="30" t="inlineStr">
        <is>
          <t>3p-7p f9 no brk solo</t>
        </is>
      </c>
      <c r="M15" s="48" t="n">
        <v>4</v>
      </c>
      <c r="N15" s="30" t="n"/>
      <c r="O15" s="18" t="n"/>
      <c r="P15" s="3">
        <f>SUM(O15,M15,K15,I15,G15,E15,C15)</f>
        <v/>
      </c>
    </row>
    <row r="16" ht="32" customHeight="1">
      <c r="A16" s="27" t="inlineStr">
        <is>
          <t xml:space="preserve">Marina </t>
        </is>
      </c>
      <c r="B16" s="30" t="n"/>
      <c r="C16" s="48" t="n"/>
      <c r="D16" s="30" t="n"/>
      <c r="E16" s="48" t="n"/>
      <c r="F16" s="120" t="inlineStr">
        <is>
          <t>9a-2p EVENTS</t>
        </is>
      </c>
      <c r="G16" s="48" t="n">
        <v>5</v>
      </c>
      <c r="H16" s="120" t="n"/>
      <c r="I16" s="48" t="n"/>
      <c r="J16" s="30" t="n"/>
      <c r="K16" s="48" t="n"/>
      <c r="L16" s="99" t="inlineStr">
        <is>
          <t>8a-4p f9 B@1 solo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16" customHeight="1">
      <c r="A17" s="45" t="inlineStr">
        <is>
          <t>Francisco</t>
        </is>
      </c>
      <c r="B17" s="84" t="n"/>
      <c r="C17" s="82" t="n"/>
      <c r="D17" s="45" t="n"/>
      <c r="E17" s="82" t="n"/>
      <c r="F17" s="85" t="inlineStr">
        <is>
          <t>3-6p w ibu ops/ set-up</t>
        </is>
      </c>
      <c r="G17" s="82" t="n">
        <v>3</v>
      </c>
      <c r="H17" s="84" t="inlineStr">
        <is>
          <t>3p-7p w IBU ops/set up</t>
        </is>
      </c>
      <c r="I17" s="82" t="n">
        <v>4</v>
      </c>
      <c r="J17" s="85" t="inlineStr">
        <is>
          <t>8:15a-11:45a w IBU ops</t>
        </is>
      </c>
      <c r="K17" s="82" t="n">
        <v>3.5</v>
      </c>
      <c r="L17" s="82" t="n"/>
      <c r="M17" s="45" t="n"/>
      <c r="N17" s="45" t="n"/>
      <c r="O17" s="18" t="n"/>
      <c r="P17" s="3">
        <f>SUM(O17,M17,K17,I17,G17,E17,C17)</f>
        <v/>
      </c>
    </row>
    <row r="18" ht="16" customHeight="1">
      <c r="A18" s="45" t="inlineStr">
        <is>
          <t>Prabesh</t>
        </is>
      </c>
      <c r="B18" s="84" t="n"/>
      <c r="C18" s="82" t="n"/>
      <c r="D18" s="101" t="n"/>
      <c r="E18" s="48" t="n"/>
      <c r="F18" s="101" t="inlineStr">
        <is>
          <t>9a-5p w fran</t>
        </is>
      </c>
      <c r="G18" s="48" t="n">
        <v>7.5</v>
      </c>
      <c r="H18" s="101" t="inlineStr">
        <is>
          <t>9a-5p w fran</t>
        </is>
      </c>
      <c r="I18" s="48" t="n">
        <v>7.5</v>
      </c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32" customHeight="1">
      <c r="A19" s="45" t="inlineStr">
        <is>
          <t>Aya</t>
        </is>
      </c>
      <c r="B19" s="84" t="n"/>
      <c r="C19" s="82" t="n"/>
      <c r="D19" s="82" t="inlineStr">
        <is>
          <t>8a-2p w IBU OPS (1st day)</t>
        </is>
      </c>
      <c r="E19" s="82" t="n">
        <v>5.5</v>
      </c>
      <c r="F19" s="85" t="inlineStr">
        <is>
          <t>8a-11a w IBU ops</t>
        </is>
      </c>
      <c r="G19" s="82" t="n">
        <v>3</v>
      </c>
      <c r="H19" s="85" t="inlineStr">
        <is>
          <t>8a-11a w IBU ops</t>
        </is>
      </c>
      <c r="I19" s="82" t="n">
        <v>3</v>
      </c>
      <c r="J19" s="84" t="n"/>
      <c r="K19" s="82" t="n"/>
      <c r="L19" s="85" t="inlineStr">
        <is>
          <t>8:15a-11:45a w IBU ops</t>
        </is>
      </c>
      <c r="M19" s="82" t="n">
        <v>3.5</v>
      </c>
      <c r="N19" s="45" t="n"/>
      <c r="O19" s="18" t="n"/>
      <c r="P19" s="3">
        <f>SUM(O19,M19,K19,I19,G19,E19,C19)</f>
        <v/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60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  <c r="C24" s="439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/>
    <outlinePr summaryBelow="1" summaryRight="1"/>
    <pageSetUpPr/>
  </sheetPr>
  <dimension ref="A1:R24"/>
  <sheetViews>
    <sheetView zoomScale="70" zoomScaleNormal="70" workbookViewId="0">
      <selection activeCell="C1" sqref="C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.33203125" bestFit="1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45936</v>
      </c>
      <c r="C2" s="6" t="n"/>
      <c r="D2" s="5" t="n">
        <v>45937</v>
      </c>
      <c r="E2" s="6" t="n"/>
      <c r="F2" s="5" t="n">
        <v>45938</v>
      </c>
      <c r="G2" s="6" t="n"/>
      <c r="H2" s="109" t="n">
        <v>45939</v>
      </c>
      <c r="I2" s="6" t="n"/>
      <c r="J2" s="5" t="n">
        <v>45940</v>
      </c>
      <c r="K2" s="6" t="n"/>
      <c r="L2" s="5" t="n">
        <v>45941</v>
      </c>
      <c r="M2" s="6" t="n"/>
      <c r="N2" s="5" t="n">
        <v>45942</v>
      </c>
      <c r="O2" s="7" t="n"/>
      <c r="P2" s="3" t="n"/>
    </row>
    <row r="3" ht="69" customHeight="1">
      <c r="A3" s="8" t="inlineStr">
        <is>
          <t>EVENTS</t>
        </is>
      </c>
      <c r="B3" s="62" t="n"/>
      <c r="C3" s="10" t="n"/>
      <c r="D3" s="111" t="inlineStr">
        <is>
          <t>12-2pm - cleaning apt. by ops team</t>
        </is>
      </c>
      <c r="E3" s="112" t="n"/>
      <c r="F3" s="113" t="inlineStr">
        <is>
          <t>Career Services - Network with the Best! 12- 1p (1001)</t>
        </is>
      </c>
      <c r="G3" s="114" t="n"/>
      <c r="H3" s="113" t="inlineStr">
        <is>
          <t>Fireside chat VIP visit 1001-2 (12-4p)                                                                              Enactus Meet and Greet 1003</t>
        </is>
      </c>
      <c r="I3" s="115" t="n"/>
      <c r="J3" s="116" t="inlineStr">
        <is>
          <t>Mental Health Day - 1001-2/Setup for joined lecture on Staurday - 40 tables/ 80 chairs</t>
        </is>
      </c>
      <c r="K3" s="112" t="n"/>
      <c r="L3" s="113" t="inlineStr">
        <is>
          <t>1001 + 1002 Brenda+ Ho Hon - Joined Lecture 10:30am and 2pm</t>
        </is>
      </c>
      <c r="M3" s="13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VAC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9:30a-5p</t>
        </is>
      </c>
      <c r="G4" s="18" t="n">
        <v>7.5</v>
      </c>
      <c r="H4" s="110" t="inlineStr">
        <is>
          <t>9a-5p</t>
        </is>
      </c>
      <c r="I4" s="18" t="n">
        <v>8</v>
      </c>
      <c r="J4" s="19" t="inlineStr">
        <is>
          <t>Lieu used</t>
        </is>
      </c>
      <c r="K4" s="18" t="n">
        <v>6.5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10a-12:30p SET-up/ + Lieu time owed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8a-11a</t>
        </is>
      </c>
      <c r="I6" s="48" t="n">
        <v>3</v>
      </c>
      <c r="J6" s="36" t="inlineStr">
        <is>
          <t>Sick</t>
        </is>
      </c>
      <c r="K6" s="48" t="n">
        <v>0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12p-6p f8</t>
        </is>
      </c>
      <c r="C7" s="48" t="n">
        <v>5.5</v>
      </c>
      <c r="D7" s="30" t="inlineStr">
        <is>
          <t>11:30a-6p f8</t>
        </is>
      </c>
      <c r="E7" s="48" t="n">
        <v>6</v>
      </c>
      <c r="F7" s="33" t="n"/>
      <c r="G7" s="48" t="n"/>
      <c r="H7" s="30" t="inlineStr">
        <is>
          <t>8a-2:30p f9 B@11:30am</t>
        </is>
      </c>
      <c r="I7" s="48" t="n">
        <v>6</v>
      </c>
      <c r="J7" s="30" t="n"/>
      <c r="K7" s="48" t="n"/>
      <c r="L7" s="83" t="inlineStr">
        <is>
          <t>9-1p Inv - 1-1:30 f9/ B@1:30/ 2-4 inv/ 4-7 f9</t>
        </is>
      </c>
      <c r="M7" s="48" t="n">
        <v>9.5</v>
      </c>
      <c r="N7" s="30" t="n"/>
      <c r="O7" s="18" t="n"/>
      <c r="P7" s="3">
        <f>SUM(O7,M7,K7,I7,G7,E7,C7)</f>
        <v/>
      </c>
    </row>
    <row r="8" ht="32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</t>
        </is>
      </c>
      <c r="E8" s="48" t="n">
        <v>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48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30" t="n"/>
      <c r="I9" s="48" t="n"/>
      <c r="J9" s="30" t="inlineStr">
        <is>
          <t>8:30a-3:30p- f8  (Cover CC at 3pm)  4p-7p f9</t>
        </is>
      </c>
      <c r="K9" s="48" t="n">
        <v>10</v>
      </c>
      <c r="L9" s="30" t="inlineStr">
        <is>
          <t>8a-11a f9</t>
        </is>
      </c>
      <c r="M9" s="48" t="n">
        <v>3</v>
      </c>
      <c r="N9" s="30" t="n"/>
      <c r="O9" s="18" t="n"/>
      <c r="P9" s="3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 no brk</t>
        </is>
      </c>
      <c r="K10" s="48" t="n">
        <v>3</v>
      </c>
      <c r="L10" s="30" t="inlineStr">
        <is>
          <t>RO</t>
        </is>
      </c>
      <c r="M10" s="48" t="n"/>
      <c r="N10" s="30" t="n"/>
      <c r="O10" s="18" t="n"/>
      <c r="P10" s="3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11a-3 f12 CC B@3 / 3:30-7 f8 CC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32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00" t="inlineStr">
        <is>
          <t>12:30-2:30p EVENTS + RESET</t>
        </is>
      </c>
      <c r="K14" s="48" t="n">
        <v>2</v>
      </c>
      <c r="L14" s="36" t="n"/>
      <c r="M14" s="48" t="n"/>
      <c r="N14" s="30" t="n"/>
      <c r="O14" s="18" t="n"/>
      <c r="P14" s="3">
        <f>SUM(O14,M14,K14,I14,G14,E14,C14)</f>
        <v/>
      </c>
    </row>
    <row r="15" ht="32" customHeight="1">
      <c r="A15" s="27" t="inlineStr">
        <is>
          <t>Leonardo TRAINING</t>
        </is>
      </c>
      <c r="B15" s="30" t="n"/>
      <c r="C15" s="48" t="n"/>
      <c r="D15" s="100" t="inlineStr">
        <is>
          <t>8a-4p TR Desk f9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8a-11a Tr f9/ B@11a/ 11:30a-4pm solo f9</t>
        </is>
      </c>
      <c r="K15" s="48" t="n">
        <v>7.5</v>
      </c>
      <c r="L15" s="30" t="n"/>
      <c r="M15" s="48" t="n"/>
      <c r="N15" s="30" t="n"/>
      <c r="O15" s="18" t="n"/>
      <c r="P15" s="3">
        <f>SUM(O15,M15,K15,I15,G15,E15,C15)</f>
        <v/>
      </c>
    </row>
    <row r="16" ht="32" customHeight="1">
      <c r="A16" s="27" t="inlineStr">
        <is>
          <t>Marina  TRAINING</t>
        </is>
      </c>
      <c r="B16" s="104" t="inlineStr">
        <is>
          <t>8a-2pf9 + event set-up</t>
        </is>
      </c>
      <c r="C16" s="48" t="n">
        <v>5.5</v>
      </c>
      <c r="D16" s="30" t="n"/>
      <c r="E16" s="48" t="n"/>
      <c r="F16" s="33" t="inlineStr">
        <is>
          <t>8a-2p f9 TR +EVENT</t>
        </is>
      </c>
      <c r="G16" s="48" t="n">
        <v>5.5</v>
      </c>
      <c r="H16" s="33" t="inlineStr">
        <is>
          <t>8a-12p f9 TR no brk +EVENT</t>
        </is>
      </c>
      <c r="I16" s="48" t="n">
        <v>4</v>
      </c>
      <c r="J16" s="30" t="n"/>
      <c r="K16" s="48" t="n"/>
      <c r="L16" s="99" t="inlineStr">
        <is>
          <t>8a-11a TR/ 12-4p solo f9 B@1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32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inlineStr">
        <is>
          <t>12:00- 3:00pm - ops team help</t>
        </is>
      </c>
      <c r="E17" s="82" t="n">
        <v>3</v>
      </c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Prabesh</t>
        </is>
      </c>
      <c r="B18" s="84" t="n"/>
      <c r="C18" s="82" t="n"/>
      <c r="E18" s="48" t="n">
        <v>7.5</v>
      </c>
      <c r="F18" s="101" t="inlineStr">
        <is>
          <t>11a-7p f12 TR CC w Kavya &amp; Chinesha</t>
        </is>
      </c>
      <c r="G18" s="48" t="n">
        <v>7.5</v>
      </c>
      <c r="H18" s="82" t="n"/>
      <c r="I18" s="82" t="n"/>
      <c r="J18" s="101" t="inlineStr">
        <is>
          <t>11a-3p f12 TR C/ B@3/ 3:30-7p w Pablo f9+ events</t>
        </is>
      </c>
      <c r="K18" s="48" t="n">
        <v>7.5</v>
      </c>
      <c r="L18" s="82" t="n"/>
      <c r="M18" s="45" t="n"/>
      <c r="N18" s="45" t="n"/>
      <c r="O18" s="18" t="n"/>
      <c r="P18" s="3" t="n">
        <v>15</v>
      </c>
    </row>
    <row r="19" ht="16" customHeight="1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  <c r="R19" t="inlineStr">
        <is>
          <t>let</t>
        </is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4"/>
  <sheetViews>
    <sheetView zoomScale="70" zoomScaleNormal="70" workbookViewId="0">
      <selection activeCell="D1" sqref="D1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0.33203125" bestFit="1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45929</v>
      </c>
      <c r="C2" s="6" t="n"/>
      <c r="D2" s="5" t="n">
        <v>45930</v>
      </c>
      <c r="E2" s="6" t="n"/>
      <c r="F2" s="5" t="n">
        <v>45931</v>
      </c>
      <c r="G2" s="6" t="n"/>
      <c r="H2" s="5" t="n">
        <v>45932</v>
      </c>
      <c r="I2" s="6" t="n"/>
      <c r="J2" s="5" t="n">
        <v>45933</v>
      </c>
      <c r="K2" s="6" t="n"/>
      <c r="L2" s="5" t="n">
        <v>45934</v>
      </c>
      <c r="M2" s="6" t="n"/>
      <c r="N2" s="5" t="n">
        <v>45935</v>
      </c>
      <c r="O2" s="7" t="n"/>
      <c r="P2" s="3" t="n"/>
    </row>
    <row r="3" ht="69" customHeight="1">
      <c r="A3" s="8" t="inlineStr">
        <is>
          <t>EVENTS</t>
        </is>
      </c>
      <c r="B3" s="107" t="inlineStr">
        <is>
          <t>Career Services - MOU signing IBU AND FREE FUSE 12 :00 - 2:00 pm</t>
        </is>
      </c>
      <c r="C3" s="10" t="n"/>
      <c r="D3" s="105" t="inlineStr">
        <is>
          <t>Career Services - MOU 1:00 -2:30 pm (1001-2) + Orange shirt day - 807 + 1003 (10:30 to 2:00)</t>
        </is>
      </c>
      <c r="E3" s="10" t="n"/>
      <c r="F3" s="106" t="inlineStr">
        <is>
          <t xml:space="preserve">Executive meet - 1001(9:30 - 3:30) </t>
        </is>
      </c>
      <c r="G3" s="11" t="n"/>
      <c r="H3" s="92" t="inlineStr">
        <is>
          <t>Recruitment meet - 9th floor meeting room  10:30- 12:30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9a-5 in meetings all day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VAC</t>
        </is>
      </c>
      <c r="G4" s="18" t="n">
        <v>8</v>
      </c>
      <c r="H4" s="19" t="inlineStr">
        <is>
          <t>VAC</t>
        </is>
      </c>
      <c r="I4" s="18" t="n">
        <v>8</v>
      </c>
      <c r="J4" s="19" t="inlineStr">
        <is>
          <t>VAC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9a-5p</t>
        </is>
      </c>
      <c r="K5" s="48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RO</t>
        </is>
      </c>
      <c r="I6" s="48" t="n">
        <v>0</v>
      </c>
      <c r="J6" s="36" t="inlineStr">
        <is>
          <t>RO</t>
        </is>
      </c>
      <c r="K6" s="48" t="n"/>
      <c r="L6" s="30" t="inlineStr">
        <is>
          <t>RO</t>
        </is>
      </c>
      <c r="M6" s="30" t="n"/>
      <c r="N6" s="30" t="inlineStr">
        <is>
          <t>OFF</t>
        </is>
      </c>
      <c r="O6" s="18" t="n"/>
      <c r="P6" s="3" t="n">
        <v>8</v>
      </c>
    </row>
    <row r="7" ht="32" customHeight="1">
      <c r="A7" s="27" t="inlineStr">
        <is>
          <t>Sri</t>
        </is>
      </c>
      <c r="B7" s="30" t="inlineStr">
        <is>
          <t>11:30a-6p f8</t>
        </is>
      </c>
      <c r="C7" s="48" t="n">
        <v>6</v>
      </c>
      <c r="D7" s="30" t="inlineStr">
        <is>
          <t>9a-11:30 set-up events/ 11:30a-6p f8</t>
        </is>
      </c>
      <c r="E7" s="48" t="n">
        <v>8.5</v>
      </c>
      <c r="F7" s="37" t="n"/>
      <c r="G7" s="18" t="n"/>
      <c r="H7" s="30" t="inlineStr">
        <is>
          <t>8:30a-2:30 inventories</t>
        </is>
      </c>
      <c r="I7" s="48" t="n">
        <v>5.5</v>
      </c>
      <c r="J7" s="30" t="n"/>
      <c r="K7" s="48" t="n"/>
      <c r="L7" s="108" t="inlineStr">
        <is>
          <t>8a-11 f9 B@11, 11:30-3 inventory</t>
        </is>
      </c>
      <c r="M7" s="48" t="n">
        <v>6.5</v>
      </c>
      <c r="N7" s="30" t="n"/>
      <c r="O7" s="18" t="n"/>
      <c r="P7" s="32">
        <f>SUM(O7,M7,K7,I7,G7,E7,C7)</f>
        <v/>
      </c>
    </row>
    <row r="8" ht="32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f9/ B@1/ 1:30-3p event</t>
        </is>
      </c>
      <c r="E8" s="48" t="n">
        <v>6.5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2">
        <f>SUM(O8,M8,K8,I8,G8,E8,C8)</f>
        <v/>
      </c>
    </row>
    <row r="9" ht="48" customHeight="1">
      <c r="A9" s="27" t="inlineStr">
        <is>
          <t>Pablo</t>
        </is>
      </c>
      <c r="B9" s="38" t="n"/>
      <c r="C9" s="48" t="n"/>
      <c r="D9" s="44" t="inlineStr">
        <is>
          <t>1:30p-7 f12 CC B@3:30</t>
        </is>
      </c>
      <c r="E9" s="48" t="n">
        <v>5</v>
      </c>
      <c r="F9" s="44" t="inlineStr">
        <is>
          <t xml:space="preserve">8a-12:30p f9 desk/ B@12:30/ 1-1:30p f12 CC </t>
        </is>
      </c>
      <c r="G9" s="48" t="n">
        <v>5</v>
      </c>
      <c r="H9" s="96" t="inlineStr">
        <is>
          <t>12:30p-6p f8</t>
        </is>
      </c>
      <c r="I9" s="48" t="n">
        <v>5</v>
      </c>
      <c r="J9" s="30" t="inlineStr">
        <is>
          <t>8:30a-6p- f8 (Cover CC at 3:30-4p)</t>
        </is>
      </c>
      <c r="K9" s="48" t="n">
        <v>9</v>
      </c>
      <c r="L9" s="30" t="n"/>
      <c r="M9" s="48" t="n"/>
      <c r="N9" s="30" t="n"/>
      <c r="O9" s="18" t="n"/>
      <c r="P9" s="32">
        <f>SUM(O9,M9,K9,I9,G9,E9,C9)</f>
        <v/>
      </c>
    </row>
    <row r="10" ht="32" customHeight="1">
      <c r="A10" s="27" t="inlineStr">
        <is>
          <t>Taran</t>
        </is>
      </c>
      <c r="B10" s="38" t="n"/>
      <c r="C10" s="48" t="n"/>
      <c r="D10" s="38" t="n"/>
      <c r="E10" s="48" t="n"/>
      <c r="F10" s="33" t="n"/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3:30p-4 f8/ 4p-7p f9 no brk</t>
        </is>
      </c>
      <c r="K10" s="48" t="n">
        <v>6.5</v>
      </c>
      <c r="L10" s="30" t="n"/>
      <c r="M10" s="48" t="n">
        <v>0</v>
      </c>
      <c r="N10" s="30" t="n"/>
      <c r="O10" s="18" t="n"/>
      <c r="P10" s="32" t="n">
        <v>10.5</v>
      </c>
    </row>
    <row r="11" ht="80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2">
        <f>SUM(O12,M12,K12,I12,G12,E12,C12)</f>
        <v/>
      </c>
    </row>
    <row r="13" ht="16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B@2pm</t>
        </is>
      </c>
      <c r="I13" s="48" t="n">
        <v>7</v>
      </c>
      <c r="J13" s="44" t="inlineStr">
        <is>
          <t>11a-7p f12 CC B@3:30p</t>
        </is>
      </c>
      <c r="K13" s="48" t="n">
        <v>7.5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n"/>
      <c r="I14" s="48" t="n"/>
      <c r="J14" s="100" t="inlineStr">
        <is>
          <t>12:30-2:30p f9</t>
        </is>
      </c>
      <c r="K14" s="48" t="n">
        <v>2</v>
      </c>
      <c r="L14" s="30" t="inlineStr">
        <is>
          <t>3p-7p f9 no brk</t>
        </is>
      </c>
      <c r="M14" s="48" t="n">
        <v>4</v>
      </c>
      <c r="N14" s="30" t="n"/>
      <c r="O14" s="18" t="n"/>
      <c r="P14" s="32">
        <f>SUM(O14,M14,K14,I14,G14,E14,C14)</f>
        <v/>
      </c>
    </row>
    <row r="15" ht="32" customHeight="1">
      <c r="A15" s="27" t="inlineStr">
        <is>
          <t>Leonardo TRAINING</t>
        </is>
      </c>
      <c r="B15" s="30" t="n"/>
      <c r="C15" s="48" t="n"/>
      <c r="D15" s="103" t="inlineStr">
        <is>
          <t>8a-4p TR Desk f9 + EVENT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8a-4p F9 TR</t>
        </is>
      </c>
      <c r="K15" s="48" t="n">
        <v>7.5</v>
      </c>
      <c r="L15" s="30" t="n"/>
      <c r="M15" s="48" t="n"/>
      <c r="N15" s="30" t="n"/>
      <c r="O15" s="18" t="n"/>
      <c r="P15" s="32">
        <f>SUM(O15,M15,K15,I15,G15,E15,C15)</f>
        <v/>
      </c>
    </row>
    <row r="16" ht="32" customHeight="1">
      <c r="A16" s="27" t="inlineStr">
        <is>
          <t>Marina  TRAINING</t>
        </is>
      </c>
      <c r="B16" s="104" t="inlineStr">
        <is>
          <t>8a-12pf9 + event set-up</t>
        </is>
      </c>
      <c r="C16" s="48" t="n">
        <v>4</v>
      </c>
      <c r="D16" s="30" t="n"/>
      <c r="E16" s="48" t="n"/>
      <c r="F16" s="33" t="inlineStr">
        <is>
          <t>8a-2p f9 TR  + EVENT</t>
        </is>
      </c>
      <c r="G16" s="48" t="n">
        <v>5.5</v>
      </c>
      <c r="H16" s="30" t="inlineStr">
        <is>
          <t>8a-12p f9 TR no brk</t>
        </is>
      </c>
      <c r="I16" s="48" t="n">
        <v>4</v>
      </c>
      <c r="J16" s="30" t="n"/>
      <c r="K16" s="48" t="n"/>
      <c r="L16" s="99" t="inlineStr">
        <is>
          <t>8a-4p TR B@1</t>
        </is>
      </c>
      <c r="M16" s="48" t="n">
        <v>7.5</v>
      </c>
      <c r="N16" s="30" t="n"/>
      <c r="O16" s="18" t="n"/>
      <c r="P16" s="32">
        <f>SUM(O16,M16,K16,I16,G16,E16,C16)</f>
        <v/>
      </c>
    </row>
    <row r="17" ht="32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Prabesh</t>
        </is>
      </c>
      <c r="B18" s="84" t="n"/>
      <c r="C18" s="82" t="n"/>
      <c r="D18" s="101" t="inlineStr">
        <is>
          <t>9a-11a help w event/ 11a-5p f12 TR CC w Pablo</t>
        </is>
      </c>
      <c r="E18" s="48" t="n">
        <v>7.5</v>
      </c>
      <c r="F18" s="101" t="inlineStr">
        <is>
          <t>12a-7p f12 TR CC w Kavya &amp; Chinesha</t>
        </is>
      </c>
      <c r="G18" s="48" t="n">
        <v>6.5</v>
      </c>
      <c r="H18" s="82" t="n"/>
      <c r="I18" s="82" t="n"/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16" customHeight="1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</row>
    <row r="20" ht="16" customHeight="1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 ht="16" customHeight="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3"/>
  <sheetViews>
    <sheetView zoomScale="70" zoomScaleNormal="70" workbookViewId="0">
      <selection activeCell="D6" sqref="D6"/>
    </sheetView>
  </sheetViews>
  <sheetFormatPr baseColWidth="10" defaultColWidth="8.83203125" defaultRowHeight="15"/>
  <cols>
    <col width="26.5" customWidth="1" min="1" max="1"/>
    <col width="17.5" customWidth="1" min="2" max="2"/>
    <col width="4.33203125" customWidth="1" min="3" max="3"/>
    <col width="20" customWidth="1" min="4" max="4"/>
    <col width="4.33203125" customWidth="1" min="5" max="5"/>
    <col width="24.1640625" customWidth="1" min="6" max="6"/>
    <col width="4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4.664062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45922</v>
      </c>
      <c r="C2" s="6" t="n"/>
      <c r="D2" s="5" t="n">
        <v>45923</v>
      </c>
      <c r="E2" s="6" t="n"/>
      <c r="F2" s="5" t="n">
        <v>45924</v>
      </c>
      <c r="G2" s="6" t="n"/>
      <c r="H2" s="5" t="n">
        <v>45925</v>
      </c>
      <c r="I2" s="6" t="n"/>
      <c r="J2" s="5" t="n">
        <v>45926</v>
      </c>
      <c r="K2" s="6" t="n"/>
      <c r="L2" s="5" t="n">
        <v>45927</v>
      </c>
      <c r="M2" s="6" t="n"/>
      <c r="N2" s="5" t="n">
        <v>45928</v>
      </c>
      <c r="O2" s="7" t="n"/>
      <c r="P2" s="3" t="n"/>
    </row>
    <row r="3" ht="84" customHeight="1">
      <c r="A3" s="8" t="inlineStr">
        <is>
          <t>EVENTS</t>
        </is>
      </c>
      <c r="B3" s="9" t="n"/>
      <c r="C3" s="10" t="n"/>
      <c r="D3" s="9" t="inlineStr">
        <is>
          <t>VIP Visitor " Robin Clarke - CPA" Meeting w Dorothy @11 am inCS. Bag, Muffins, coffee etc</t>
        </is>
      </c>
      <c r="E3" s="10" t="n"/>
      <c r="F3" s="9" t="inlineStr">
        <is>
          <t>1001-1002 SS event 2-4pm  8X8 w water bottles on table, pens and A4 sheets 3-4 each desk + Mic and speaker AV</t>
        </is>
      </c>
      <c r="G3" s="11" t="n"/>
      <c r="H3" s="92" t="inlineStr">
        <is>
          <t xml:space="preserve">CS event f10 12-2p 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32" customHeight="1">
      <c r="A4" s="16" t="inlineStr">
        <is>
          <t>Fran</t>
        </is>
      </c>
      <c r="B4" s="19" t="inlineStr">
        <is>
          <t>Lieu used from Sept 19</t>
        </is>
      </c>
      <c r="C4" s="18" t="n">
        <v>4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9a-9p</t>
        </is>
      </c>
      <c r="I4" s="18" t="n">
        <v>12</v>
      </c>
      <c r="J4" s="19" t="inlineStr">
        <is>
          <t>9a-5 Tentatively Offsite Tour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6" customHeight="1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8a-9 f8/ 9-4p projs</t>
        </is>
      </c>
      <c r="E5" s="24" t="n">
        <v>8</v>
      </c>
      <c r="F5" s="26" t="inlineStr">
        <is>
          <t>9a-5 (Cover CC 1-1:45)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8a-4p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9:15a-12p f10 L</t>
        </is>
      </c>
      <c r="E6" s="48" t="n">
        <v>2.75</v>
      </c>
      <c r="F6" s="36" t="inlineStr">
        <is>
          <t>CO  (4 hrs)</t>
        </is>
      </c>
      <c r="G6" s="48" t="n"/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11a-12 w fran / 1-6p f8</t>
        </is>
      </c>
      <c r="E7" s="48" t="n">
        <v>5.5</v>
      </c>
      <c r="F7" s="37" t="n"/>
      <c r="G7" s="18" t="n"/>
      <c r="H7" s="30" t="inlineStr">
        <is>
          <t>8a-9a f9/ 9a-10a w fran/ 10a-11a proj/ 11a-12p w fran/ 12-1 give ppl breaks</t>
        </is>
      </c>
      <c r="I7" s="48" t="n">
        <v>5</v>
      </c>
      <c r="J7" s="30" t="n"/>
      <c r="K7" s="48" t="n"/>
      <c r="L7" s="30" t="inlineStr">
        <is>
          <t>8a-3p f9 B@11</t>
        </is>
      </c>
      <c r="M7" s="48" t="n">
        <v>6.5</v>
      </c>
      <c r="N7" s="30" t="n"/>
      <c r="O7" s="18" t="n"/>
      <c r="P7" s="32">
        <f>SUM(O7,M7,K7,I7,G7,E7,C7)</f>
        <v/>
      </c>
    </row>
    <row r="8" ht="16" customHeight="1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9a-7p f9</t>
        </is>
      </c>
      <c r="I8" s="48" t="n">
        <v>9.5</v>
      </c>
      <c r="J8" s="30" t="n"/>
      <c r="K8" s="48" t="n"/>
      <c r="L8" s="90" t="inlineStr">
        <is>
          <t>12p-7f8 B@3:30</t>
        </is>
      </c>
      <c r="M8" s="18" t="n">
        <v>6.5</v>
      </c>
      <c r="N8" s="30" t="n"/>
      <c r="O8" s="18" t="n"/>
      <c r="P8" s="32">
        <f>SUM(O8,M8,K8,I8,G8,E8,C8)</f>
        <v/>
      </c>
    </row>
    <row r="9" ht="80" customHeight="1">
      <c r="A9" s="27" t="inlineStr">
        <is>
          <t>Pablo</t>
        </is>
      </c>
      <c r="B9" s="38" t="n"/>
      <c r="C9" s="48" t="n"/>
      <c r="D9" s="30" t="inlineStr">
        <is>
          <t>9a-12pf8 desk/ B@12/ 12:30-7 f12 CC B@3:30</t>
        </is>
      </c>
      <c r="E9" s="48" t="n">
        <v>9.5</v>
      </c>
      <c r="F9" s="44" t="inlineStr">
        <is>
          <t xml:space="preserve">8a-12:30p f9 desk/ B@12:30/ 1-2p f12 CC </t>
        </is>
      </c>
      <c r="G9" s="48" t="n">
        <v>5.5</v>
      </c>
      <c r="H9" s="30" t="inlineStr">
        <is>
          <t>11a-6p f8</t>
        </is>
      </c>
      <c r="I9" s="48" t="n">
        <v>6.5</v>
      </c>
      <c r="J9" s="30" t="inlineStr">
        <is>
          <t>8a-4pm f9</t>
        </is>
      </c>
      <c r="K9" s="48" t="n">
        <v>7.5</v>
      </c>
      <c r="L9" s="30" t="inlineStr">
        <is>
          <t>11a-11:30f9/ 11:30-2:30 clean &amp; reset campus/ order list B@2:30/ 3-7p f9</t>
        </is>
      </c>
      <c r="M9" s="48" t="n">
        <v>7.5</v>
      </c>
      <c r="N9" s="30" t="n"/>
      <c r="O9" s="18" t="n"/>
      <c r="P9" s="32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8a-11a f8</t>
        </is>
      </c>
      <c r="I10" s="48" t="n">
        <v>3</v>
      </c>
      <c r="J10" s="30" t="inlineStr">
        <is>
          <t>8:30a-11a f8/ 4p-7p f9</t>
        </is>
      </c>
      <c r="K10" s="48" t="n">
        <v>5.5</v>
      </c>
      <c r="L10" s="38" t="n"/>
      <c r="M10" s="48" t="n"/>
      <c r="N10" s="30" t="n"/>
      <c r="O10" s="18" t="n"/>
      <c r="P10" s="32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8a-12p f8 &amp;CC/  B@12p/ 12:30p-5:30p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8" customHeight="1">
      <c r="A12" s="27" t="inlineStr">
        <is>
          <t>Kavya</t>
        </is>
      </c>
      <c r="B12" s="30" t="inlineStr">
        <is>
          <t>8:30a-11a TR Opening f8</t>
        </is>
      </c>
      <c r="C12" s="48" t="n">
        <v>2.5</v>
      </c>
      <c r="D12" s="30" t="inlineStr">
        <is>
          <t>8a-11a</t>
        </is>
      </c>
      <c r="E12" s="48" t="n">
        <v>3</v>
      </c>
      <c r="F12" s="36" t="inlineStr">
        <is>
          <t xml:space="preserve">8a-4p f12 B@1:15  </t>
        </is>
      </c>
      <c r="G12" s="48" t="n">
        <v>7.5</v>
      </c>
      <c r="H12" s="36" t="inlineStr">
        <is>
          <t xml:space="preserve">10a-4p f12 B@1:15  </t>
        </is>
      </c>
      <c r="I12" s="48" t="n">
        <v>5.5</v>
      </c>
      <c r="J12" s="30" t="inlineStr">
        <is>
          <t>11a-1p f8/ B@1p / CC 1:30p-4p f12/ 4p-7p CLOSING w Taran</t>
        </is>
      </c>
      <c r="K12" s="48" t="n">
        <v>7.5</v>
      </c>
      <c r="L12" s="30" t="n"/>
      <c r="M12" s="61" t="n"/>
      <c r="N12" s="30" t="n"/>
      <c r="O12" s="18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36" t="inlineStr">
        <is>
          <t>11:30a-12:30 ele F12 / 12:30-7 f12 B@3:30</t>
        </is>
      </c>
      <c r="C13" s="48" t="n">
        <v>7</v>
      </c>
      <c r="D13" s="30" t="n"/>
      <c r="E13" s="48" t="n"/>
      <c r="F13" s="36" t="inlineStr">
        <is>
          <t>4p-7p CC f12</t>
        </is>
      </c>
      <c r="G13" s="48" t="n">
        <v>3</v>
      </c>
      <c r="H13" s="36" t="inlineStr">
        <is>
          <t>11:30a-12:30 ele F12 / 12:30-7 f12 B@3</t>
        </is>
      </c>
      <c r="I13" s="48" t="n">
        <v>7</v>
      </c>
      <c r="J13" s="36" t="inlineStr">
        <is>
          <t>11:30a-7p f12 CC B@3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f9+set-up</t>
        </is>
      </c>
      <c r="E14" s="48" t="n">
        <v>5.5</v>
      </c>
      <c r="F14" s="30" t="inlineStr">
        <is>
          <t>12:30p-7p  f9 + reset</t>
        </is>
      </c>
      <c r="G14" s="48" t="n">
        <v>6</v>
      </c>
      <c r="H14" s="96" t="n"/>
      <c r="I14" s="48" t="n"/>
      <c r="J14" s="30" t="inlineStr">
        <is>
          <t>12:30p-6p- f8</t>
        </is>
      </c>
      <c r="K14" s="48" t="n">
        <v>5</v>
      </c>
      <c r="L14" s="36" t="n"/>
      <c r="M14" s="48" t="n"/>
      <c r="N14" s="30" t="n"/>
      <c r="O14" s="18" t="n"/>
      <c r="P14" s="32">
        <f>SUM(O14,M14,K14,I14,G14,E14,C14)</f>
        <v/>
      </c>
    </row>
    <row r="15" ht="48" customHeight="1">
      <c r="A15" s="27" t="inlineStr">
        <is>
          <t>Leonardo TRAINING</t>
        </is>
      </c>
      <c r="B15" s="30" t="n"/>
      <c r="C15" s="48" t="n"/>
      <c r="D15" s="30" t="inlineStr">
        <is>
          <t>8a-3p TR Desk f8</t>
        </is>
      </c>
      <c r="E15" s="48" t="n">
        <v>6.5</v>
      </c>
      <c r="F15" s="30" t="inlineStr">
        <is>
          <t>8a-10a w IBU OPS/ 10a-11:30a f10 w Aashima</t>
        </is>
      </c>
      <c r="G15" s="48" t="n">
        <v>3.5</v>
      </c>
      <c r="H15" s="30" t="n"/>
      <c r="I15" s="48" t="n"/>
      <c r="J15" s="30" t="inlineStr">
        <is>
          <t>8a-12p F9 TR</t>
        </is>
      </c>
      <c r="K15" s="48" t="n">
        <v>4</v>
      </c>
      <c r="L15" s="30" t="inlineStr">
        <is>
          <t>8a-11f9/ B@11/ 11:30-2:30 w Pablo</t>
        </is>
      </c>
      <c r="M15" s="48" t="n">
        <v>6</v>
      </c>
      <c r="N15" s="30" t="n"/>
      <c r="O15" s="18" t="n"/>
      <c r="P15" s="32">
        <f>SUM(O15,M15,K15,I15,G15,E15,C15)</f>
        <v/>
      </c>
    </row>
    <row r="16" ht="32" customHeight="1">
      <c r="A16" s="27" t="inlineStr">
        <is>
          <t>Marina  TRAINING</t>
        </is>
      </c>
      <c r="B16" s="30" t="inlineStr">
        <is>
          <t>8a-2p f9 TR B@11:30a</t>
        </is>
      </c>
      <c r="C16" s="48" t="n">
        <v>5.5</v>
      </c>
      <c r="D16" s="30" t="n"/>
      <c r="E16" s="48" t="n"/>
      <c r="F16" s="30" t="inlineStr">
        <is>
          <t>8a-10a f9 TR opening Pablo/ 10a-1p f10 w Aashima</t>
        </is>
      </c>
      <c r="G16" s="48" t="n">
        <v>5</v>
      </c>
      <c r="H16" s="30" t="inlineStr">
        <is>
          <t>8a-12p f9 TR</t>
        </is>
      </c>
      <c r="I16" s="48" t="n">
        <v>4</v>
      </c>
      <c r="J16" s="30" t="n"/>
      <c r="K16" s="48" t="n"/>
      <c r="L16" s="30" t="inlineStr">
        <is>
          <t>12p-7pm TRAIN f9</t>
        </is>
      </c>
      <c r="M16" s="48" t="n">
        <v>6.5</v>
      </c>
      <c r="N16" s="30" t="n"/>
      <c r="O16" s="18" t="n"/>
      <c r="P16" s="32">
        <f>SUM(O16,M16,K16,I16,G16,E16,C16)</f>
        <v/>
      </c>
    </row>
    <row r="17" ht="64" customHeight="1">
      <c r="A17" s="45" t="inlineStr">
        <is>
          <t>Francisco</t>
        </is>
      </c>
      <c r="B17" s="82" t="inlineStr">
        <is>
          <t>8a-4p IBU support + help w event (11:30a-12:30 &amp; 2:30-3p f9 elev)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/ (11:30a-12:30 &amp; 2:30-3p f9 elev)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8" customHeight="1">
      <c r="A18" s="45" t="inlineStr">
        <is>
          <t>Intern Prabesh</t>
        </is>
      </c>
      <c r="B18" s="84" t="n"/>
      <c r="C18" s="82" t="n"/>
      <c r="D18" s="48" t="inlineStr">
        <is>
          <t>11a-7p f9 DESK TR (11:30a-12:30 &amp; 2:30-3:30 f9 elev)</t>
        </is>
      </c>
      <c r="E18" s="48" t="n">
        <v>7.5</v>
      </c>
      <c r="F18" s="48" t="inlineStr">
        <is>
          <t>11a-7p f9 DESK TR (11:30a-12:30 &amp; 2:30-3:30 f9 elev)</t>
        </is>
      </c>
      <c r="G18" s="48" t="n">
        <v>7.5</v>
      </c>
      <c r="H18" s="82" t="n"/>
      <c r="I18" s="82" t="n"/>
      <c r="J18" s="84" t="n"/>
      <c r="K18" s="82" t="n"/>
      <c r="L18" s="82" t="n"/>
      <c r="M18" s="45" t="n"/>
      <c r="N18" s="45" t="n"/>
      <c r="O18" s="20" t="n"/>
      <c r="P18" s="3">
        <f>SUM(O18,M18,K18,I18,G18,E18,C18)</f>
        <v/>
      </c>
    </row>
    <row r="19" ht="16" customHeight="1">
      <c r="A19" s="45" t="inlineStr">
        <is>
          <t>IBU OPS</t>
        </is>
      </c>
      <c r="B19" s="82" t="n"/>
      <c r="C19" s="18" t="n"/>
      <c r="D19" s="82" t="n"/>
      <c r="E19" s="18" t="n"/>
      <c r="F19" s="82" t="n"/>
      <c r="G19" s="18" t="n"/>
      <c r="H19" s="97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 ht="16" customHeight="1">
      <c r="A20" s="52" t="inlineStr">
        <is>
          <t>Total PT DAILY HOURS</t>
        </is>
      </c>
      <c r="B20" s="3" t="n"/>
      <c r="C20" s="3">
        <f>SUM(C8:C19)</f>
        <v/>
      </c>
      <c r="D20" s="3" t="n"/>
      <c r="E20" s="3">
        <f>SUM(E8:E19)</f>
        <v/>
      </c>
      <c r="F20" s="3" t="n"/>
      <c r="G20" s="3">
        <f>SUM(G8:G19)</f>
        <v/>
      </c>
      <c r="H20" s="3" t="n"/>
      <c r="I20" s="3">
        <f>SUM(I8:I19)</f>
        <v/>
      </c>
      <c r="J20" s="3" t="n"/>
      <c r="K20" s="3">
        <f>SUM(K8:K19)</f>
        <v/>
      </c>
      <c r="L20" s="3" t="n"/>
      <c r="M20" s="3">
        <f>SUM(M8:M19)</f>
        <v/>
      </c>
      <c r="N20" s="3" t="n"/>
      <c r="O20" s="3">
        <f>SUM(O8:O19)</f>
        <v/>
      </c>
      <c r="P20" s="53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s="439" t="inlineStr">
        <is>
          <t>Shifts in a Perfect world: Will Vary based on class schedule, Availability &amp; RO's</t>
        </is>
      </c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K4" sqref="K4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5.5" bestFit="1" customWidth="1" min="5" max="5"/>
    <col width="20.33203125" bestFit="1" customWidth="1" min="6" max="6"/>
    <col width="5.5" bestFit="1" customWidth="1" min="7" max="7"/>
    <col width="20.83203125" bestFit="1" customWidth="1" min="8" max="8"/>
    <col width="4.6640625" bestFit="1" customWidth="1" min="9" max="9"/>
    <col width="21" bestFit="1" customWidth="1" min="10" max="10"/>
    <col width="5.5" bestFit="1" customWidth="1" min="11" max="11"/>
    <col width="14.5" bestFit="1" customWidth="1" min="12" max="12"/>
    <col width="5.5" bestFit="1" customWidth="1" min="13" max="13"/>
    <col width="7.332031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45915</v>
      </c>
      <c r="C2" s="6" t="n"/>
      <c r="D2" s="5" t="n">
        <v>45916</v>
      </c>
      <c r="E2" s="6" t="n"/>
      <c r="F2" s="5" t="n">
        <v>45917</v>
      </c>
      <c r="G2" s="6" t="n"/>
      <c r="H2" s="5" t="n">
        <v>45918</v>
      </c>
      <c r="I2" s="6" t="n"/>
      <c r="J2" s="5" t="n">
        <v>45919</v>
      </c>
      <c r="K2" s="6" t="n"/>
      <c r="L2" s="5" t="n">
        <v>45920</v>
      </c>
      <c r="M2" s="6" t="n"/>
      <c r="N2" s="5" t="n">
        <v>45921</v>
      </c>
      <c r="O2" s="7" t="n"/>
      <c r="P2" s="3" t="n"/>
    </row>
    <row r="3" ht="63" customHeight="1">
      <c r="A3" s="8" t="inlineStr">
        <is>
          <t>EVENTS</t>
        </is>
      </c>
      <c r="B3" s="9" t="n"/>
      <c r="C3" s="64" t="n"/>
      <c r="D3" s="9" t="n"/>
      <c r="E3" s="64" t="n"/>
      <c r="F3" s="9" t="n"/>
      <c r="G3" s="65" t="n"/>
      <c r="H3" s="92" t="inlineStr">
        <is>
          <t>Sheridan college VIP -9ppl F9 MR //.                                     CS Event- Construyendo Conexiones Association , 4:30 pm TO 6:00pm f10</t>
        </is>
      </c>
      <c r="I3" s="64" t="n"/>
      <c r="J3" s="12" t="n"/>
      <c r="K3" s="64" t="n"/>
      <c r="L3" s="93" t="inlineStr">
        <is>
          <t>Recruitment event 10 am to 3pm- Vietnammese - HNV foundation</t>
        </is>
      </c>
      <c r="M3" s="18" t="n"/>
      <c r="N3" s="14" t="n"/>
      <c r="O3" s="15" t="n"/>
      <c r="P3" s="3" t="n"/>
    </row>
    <row r="4" ht="16" customHeight="1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9a-6:30</t>
        </is>
      </c>
      <c r="E4" s="18" t="n">
        <v>9.5</v>
      </c>
      <c r="F4" s="19" t="inlineStr">
        <is>
          <t>9a-1pm offsite/ 1-8:30p</t>
        </is>
      </c>
      <c r="G4" s="18" t="n">
        <v>11.5</v>
      </c>
      <c r="H4" s="19" t="inlineStr">
        <is>
          <t>8a-8:30p</t>
        </is>
      </c>
      <c r="I4" s="456" t="n">
        <v>12.5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32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5" t="inlineStr">
        <is>
          <t>8a-1p f9/ B@1/ 1:30p-5w fran</t>
        </is>
      </c>
      <c r="G5" s="18" t="n">
        <v>8.5</v>
      </c>
      <c r="H5" s="26" t="inlineStr">
        <is>
          <t>11a-7p</t>
        </is>
      </c>
      <c r="I5" s="48" t="n">
        <v>8</v>
      </c>
      <c r="J5" s="26" t="inlineStr">
        <is>
          <t>Sick</t>
        </is>
      </c>
      <c r="K5" s="48" t="n">
        <v>7.5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inlineStr">
        <is>
          <t>RO</t>
        </is>
      </c>
      <c r="C6" s="48" t="n"/>
      <c r="D6" s="30" t="inlineStr">
        <is>
          <t>tbd</t>
        </is>
      </c>
      <c r="E6" s="48" t="n"/>
      <c r="F6" s="36" t="inlineStr">
        <is>
          <t>8a-12p f10</t>
        </is>
      </c>
      <c r="G6" s="48" t="n">
        <v>4</v>
      </c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32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8a-1p f9</t>
        </is>
      </c>
      <c r="I7" s="48" t="n">
        <v>5</v>
      </c>
      <c r="J7" s="30" t="n"/>
      <c r="K7" s="48" t="n"/>
      <c r="L7" s="30" t="inlineStr">
        <is>
          <t>9a-4p event/ B@4/ 4:30-7p f9</t>
        </is>
      </c>
      <c r="M7" s="48" t="n">
        <v>9.5</v>
      </c>
      <c r="N7" s="30" t="n"/>
      <c r="O7" s="18" t="n"/>
      <c r="P7" s="32">
        <f>SUM(O7,M7,K7,I7,G7,E7,C7)</f>
        <v/>
      </c>
    </row>
    <row r="8" ht="16" customHeight="1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4p-7p f9</t>
        </is>
      </c>
      <c r="I8" s="48" t="n">
        <v>3</v>
      </c>
      <c r="J8" s="30" t="inlineStr">
        <is>
          <t>10:30a-1p f9</t>
        </is>
      </c>
      <c r="K8" s="48" t="n">
        <v>2.5</v>
      </c>
      <c r="L8" s="90" t="inlineStr">
        <is>
          <t>10a-7f8 B@3:30</t>
        </is>
      </c>
      <c r="M8" s="18" t="n">
        <v>8.5</v>
      </c>
      <c r="N8" s="30" t="n"/>
      <c r="O8" s="18" t="n"/>
      <c r="P8" s="32">
        <f>SUM(O8,M8,K8,I8,G8,E8,C8)</f>
        <v/>
      </c>
    </row>
    <row r="9" ht="48" customHeight="1">
      <c r="A9" s="27" t="inlineStr">
        <is>
          <t>Pablo</t>
        </is>
      </c>
      <c r="B9" s="48" t="n"/>
      <c r="C9" s="48" t="n"/>
      <c r="D9" s="44" t="inlineStr">
        <is>
          <t>8:30a-11a f8/ B@11/ 11:30a-12:30 ele F12 / 12:30-7 f12 CC B@3:30</t>
        </is>
      </c>
      <c r="E9" s="48" t="n">
        <v>10</v>
      </c>
      <c r="F9" s="44" t="inlineStr">
        <is>
          <t>11:30a-12:30 ele F12 / 12:30-7 f12 B@3:30</t>
        </is>
      </c>
      <c r="G9" s="48" t="n">
        <v>7</v>
      </c>
      <c r="H9" s="30" t="inlineStr">
        <is>
          <t>11a-3p f8</t>
        </is>
      </c>
      <c r="I9" s="48" t="n">
        <v>4</v>
      </c>
      <c r="J9" s="30" t="inlineStr">
        <is>
          <t>8a-10:30af9/ B@10:30/ 11a-6p f8</t>
        </is>
      </c>
      <c r="K9" s="48" t="n">
        <v>9.5</v>
      </c>
      <c r="L9" s="30" t="inlineStr">
        <is>
          <t>8a-6p f9 + help w event</t>
        </is>
      </c>
      <c r="M9" s="48" t="n">
        <v>9.5</v>
      </c>
      <c r="N9" s="30" t="n"/>
      <c r="O9" s="18" t="n"/>
      <c r="P9" s="32">
        <f>SUM(O9,M9,K9,I9,G9,E9,C9)</f>
        <v/>
      </c>
    </row>
    <row r="10" ht="16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8:30a-11a f8/ 3p-6p f8</t>
        </is>
      </c>
      <c r="I10" s="48" t="n">
        <v>5.5</v>
      </c>
      <c r="J10" s="30" t="inlineStr">
        <is>
          <t>Sick</t>
        </is>
      </c>
      <c r="K10" s="48" t="n"/>
      <c r="L10" s="38" t="n"/>
      <c r="M10" s="48" t="n"/>
      <c r="N10" s="30" t="n"/>
      <c r="O10" s="18" t="n"/>
      <c r="P10" s="32">
        <f>SUM(O10,M10,K10,I10,G10,E10,C10)</f>
        <v/>
      </c>
    </row>
    <row r="11" ht="80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 xml:space="preserve">8a-10a f8 &amp;CC/ 10a-3:15p f12 /B@1:15/  3:15-4p f8CC/ f12CC 4-5:30 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8" customHeight="1">
      <c r="A12" s="27" t="inlineStr">
        <is>
          <t>Kavya</t>
        </is>
      </c>
      <c r="B12" s="30" t="inlineStr">
        <is>
          <t>4p-7p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8:30a-11a f8/ 11a-4p f12 B@1:15 (2:15p-3:15p elev f12) </t>
        </is>
      </c>
      <c r="K12" s="48" t="n">
        <v>7</v>
      </c>
      <c r="L12" s="30" t="n"/>
      <c r="M12" s="61" t="n"/>
      <c r="N12" s="30" t="n"/>
      <c r="O12" s="18" t="n"/>
      <c r="P12" s="32">
        <f>SUM(O12,M12,K12,I12,G12,E12,C12)</f>
        <v/>
      </c>
    </row>
    <row r="13" ht="48" customHeight="1">
      <c r="A13" s="27" t="inlineStr">
        <is>
          <t>Chinnesha</t>
        </is>
      </c>
      <c r="B13" s="44" t="inlineStr">
        <is>
          <t>11:30a-12:30 ele F12 / 12:30-7 f12 B@3:30</t>
        </is>
      </c>
      <c r="C13" s="48" t="n">
        <v>7</v>
      </c>
      <c r="D13" s="30" t="n"/>
      <c r="E13" s="48" t="n"/>
      <c r="F13" s="30" t="inlineStr">
        <is>
          <t>8a-11a TR f9 Desk Train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 ht="16" customHeight="1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</t>
        </is>
      </c>
      <c r="E14" s="48" t="n">
        <v>5.5</v>
      </c>
      <c r="F14" s="30" t="inlineStr">
        <is>
          <t>1p-7p f9</t>
        </is>
      </c>
      <c r="G14" s="48" t="n">
        <v>5.5</v>
      </c>
      <c r="H14" s="30" t="inlineStr">
        <is>
          <t>1p-4p f9</t>
        </is>
      </c>
      <c r="I14" s="48" t="n">
        <v>3</v>
      </c>
      <c r="J14" s="30" t="inlineStr">
        <is>
          <t>1-7p f9</t>
        </is>
      </c>
      <c r="K14" s="48" t="n">
        <v>5.5</v>
      </c>
      <c r="L14" s="36" t="inlineStr">
        <is>
          <t>RO</t>
        </is>
      </c>
      <c r="M14" s="48" t="n"/>
      <c r="N14" s="30" t="n"/>
      <c r="O14" s="18" t="n"/>
      <c r="P14" s="32">
        <f>SUM(O14,M14,K14,I14,G14,E14,C14)</f>
        <v/>
      </c>
    </row>
    <row r="15" ht="80" customHeight="1">
      <c r="A15" s="45" t="inlineStr">
        <is>
          <t>Francisco</t>
        </is>
      </c>
      <c r="B15" s="84" t="n"/>
      <c r="C15" s="82" t="n"/>
      <c r="D15" s="82" t="n"/>
      <c r="E15" s="82" t="n"/>
      <c r="F15" s="85" t="n"/>
      <c r="G15" s="82" t="n"/>
      <c r="H15" s="82" t="inlineStr">
        <is>
          <t>8a-5p ibu support + event  (11:30a-12:30 &amp; 2:30-3p f9 elev)</t>
        </is>
      </c>
      <c r="I15" s="82" t="n">
        <v>8.5</v>
      </c>
      <c r="J15" s="84" t="inlineStr">
        <is>
          <t>8a-3p ibu support / (11:30a-12:30 &amp; 2:30-3p f9 elev)</t>
        </is>
      </c>
      <c r="K15" s="82" t="n">
        <v>7.5</v>
      </c>
      <c r="L15" s="82" t="inlineStr">
        <is>
          <t>8a-4p IBU support + help w event (11:30a-12:30 &amp; 2:30-3p f9 elev)</t>
        </is>
      </c>
      <c r="M15" s="45" t="n">
        <v>7.5</v>
      </c>
      <c r="N15" s="45" t="n"/>
      <c r="O15" s="18" t="n"/>
      <c r="P15" s="3">
        <f>SUM(O15,M15,K15,I15,G15,E15,C15)</f>
        <v/>
      </c>
    </row>
    <row r="16" ht="48" customHeight="1">
      <c r="A16" s="45" t="inlineStr">
        <is>
          <t>Intern Prabesh</t>
        </is>
      </c>
      <c r="B16" s="84" t="n"/>
      <c r="C16" s="82" t="n"/>
      <c r="D16" s="48" t="inlineStr">
        <is>
          <t>8a-4pf9 DESK TR (11:30a-12:30 &amp; 2:30-3:30 f9 elev)</t>
        </is>
      </c>
      <c r="E16" s="48" t="n">
        <v>7.5</v>
      </c>
      <c r="F16" s="48" t="inlineStr">
        <is>
          <t>8a-4pf9 DESK TR (11:30a-12:30 &amp; 2:30-3:30 f9 elev)</t>
        </is>
      </c>
      <c r="G16" s="48" t="n">
        <v>7.5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 ht="16" customHeight="1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16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39" t="inlineStr">
        <is>
          <t>Shifts in a Perfect world: Will Vary based on class schedule, Availability &amp; RO's</t>
        </is>
      </c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P22"/>
  <sheetViews>
    <sheetView zoomScale="50" zoomScaleNormal="50" workbookViewId="0">
      <selection activeCell="A10" sqref="A10"/>
    </sheetView>
  </sheetViews>
  <sheetFormatPr baseColWidth="10" defaultColWidth="8.83203125" defaultRowHeight="15"/>
  <cols>
    <col width="26.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.33203125" bestFit="1" customWidth="1" min="6" max="6"/>
    <col width="5.5" bestFit="1" customWidth="1" min="7" max="7"/>
    <col width="20.83203125" bestFit="1" customWidth="1" min="8" max="8"/>
    <col width="4.33203125" customWidth="1" min="9" max="9"/>
    <col width="21" bestFit="1" customWidth="1" min="10" max="10"/>
    <col width="4.5" customWidth="1" min="11" max="11"/>
    <col width="14.5" bestFit="1" customWidth="1" min="12" max="12"/>
    <col width="5.5" bestFit="1" customWidth="1" min="13" max="13"/>
    <col width="7.6640625" bestFit="1" customWidth="1" min="14" max="14"/>
    <col width="4.83203125" bestFit="1" customWidth="1" min="15" max="15"/>
    <col width="7.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86" t="inlineStr">
        <is>
          <t>HRS</t>
        </is>
      </c>
      <c r="P1" s="3" t="inlineStr">
        <is>
          <t>TTL HRS</t>
        </is>
      </c>
    </row>
    <row r="2">
      <c r="A2" s="4" t="n"/>
      <c r="B2" s="5" t="n">
        <v>45908</v>
      </c>
      <c r="C2" s="6" t="n"/>
      <c r="D2" s="5" t="n">
        <v>45909</v>
      </c>
      <c r="E2" s="6" t="n"/>
      <c r="F2" s="5" t="n">
        <v>45910</v>
      </c>
      <c r="G2" s="6" t="n"/>
      <c r="H2" s="5" t="n">
        <v>45911</v>
      </c>
      <c r="I2" s="6" t="n"/>
      <c r="J2" s="5" t="n">
        <v>45912</v>
      </c>
      <c r="K2" s="6" t="n"/>
      <c r="L2" s="5" t="n">
        <v>45913</v>
      </c>
      <c r="M2" s="6" t="n"/>
      <c r="N2" s="5" t="n">
        <v>45914</v>
      </c>
      <c r="O2" s="88" t="n"/>
      <c r="P2" s="3" t="n"/>
    </row>
    <row r="3" ht="63" customHeight="1">
      <c r="A3" s="8" t="inlineStr">
        <is>
          <t>EVENTS</t>
        </is>
      </c>
      <c r="B3" s="9" t="inlineStr">
        <is>
          <t>Enrollment continues on f12</t>
        </is>
      </c>
      <c r="C3" s="64" t="n"/>
      <c r="D3" s="9" t="inlineStr">
        <is>
          <t>Enrollment continues on f12</t>
        </is>
      </c>
      <c r="E3" s="64" t="n"/>
      <c r="F3" s="9" t="inlineStr">
        <is>
          <t>Enrollment continues on f12</t>
        </is>
      </c>
      <c r="G3" s="65" t="n"/>
      <c r="H3" s="9" t="inlineStr">
        <is>
          <t>Enrollment continues on f12</t>
        </is>
      </c>
      <c r="I3" s="64" t="n"/>
      <c r="J3" s="12" t="inlineStr">
        <is>
          <t>Enrollment continues on f12</t>
        </is>
      </c>
      <c r="K3" s="64" t="n"/>
      <c r="L3" s="9" t="n"/>
      <c r="M3" s="18" t="n"/>
      <c r="N3" s="89" t="n"/>
      <c r="O3" s="20" t="n"/>
      <c r="P3" s="3" t="n"/>
    </row>
    <row r="4" ht="16" customHeight="1">
      <c r="A4" s="16" t="inlineStr">
        <is>
          <t>Fran</t>
        </is>
      </c>
      <c r="B4" s="17" t="inlineStr">
        <is>
          <t>9:30a-7p</t>
        </is>
      </c>
      <c r="C4" s="18" t="n">
        <v>9.5</v>
      </c>
      <c r="D4" s="17" t="inlineStr">
        <is>
          <t>9a-5</t>
        </is>
      </c>
      <c r="E4" s="18" t="n">
        <v>8</v>
      </c>
      <c r="F4" s="19" t="inlineStr">
        <is>
          <t>9a-5 +9:30-11a</t>
        </is>
      </c>
      <c r="G4" s="18" t="n">
        <v>9.5</v>
      </c>
      <c r="H4" s="19" t="inlineStr">
        <is>
          <t>9a-12a</t>
        </is>
      </c>
      <c r="I4" s="18" t="n">
        <v>15</v>
      </c>
      <c r="J4" s="19" t="inlineStr">
        <is>
          <t>Ottawa</t>
        </is>
      </c>
      <c r="K4" s="18" t="n">
        <v>10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32" customHeight="1">
      <c r="A5" s="22" t="inlineStr">
        <is>
          <t>Aashima</t>
        </is>
      </c>
      <c r="B5" s="25" t="inlineStr">
        <is>
          <t>8a-9a f9/ 9a-4 w fran</t>
        </is>
      </c>
      <c r="C5" s="48" t="n">
        <v>8</v>
      </c>
      <c r="D5" s="26" t="inlineStr">
        <is>
          <t>8a-5p</t>
        </is>
      </c>
      <c r="E5" s="48" t="n">
        <v>9</v>
      </c>
      <c r="F5" s="26" t="inlineStr">
        <is>
          <t>8a-5p</t>
        </is>
      </c>
      <c r="G5" s="48" t="n">
        <v>9</v>
      </c>
      <c r="H5" s="26" t="inlineStr">
        <is>
          <t>9a-10:30 w fran/ 11a-3p f9/3-4 w fran</t>
        </is>
      </c>
      <c r="I5" s="48" t="n">
        <v>8</v>
      </c>
      <c r="J5" s="26" t="inlineStr">
        <is>
          <t>9a-10:30 floor/ 11a-1p f8/ 1-2 wrap up + owed hour</t>
        </is>
      </c>
      <c r="K5" s="48" t="n">
        <v>6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8" t="inlineStr">
        <is>
          <t>OFF</t>
        </is>
      </c>
      <c r="C6" s="48" t="n"/>
      <c r="D6" s="36" t="inlineStr">
        <is>
          <t xml:space="preserve">8a-12p f10 </t>
        </is>
      </c>
      <c r="E6" s="48" t="n">
        <v>4</v>
      </c>
      <c r="F6" s="36" t="inlineStr">
        <is>
          <t xml:space="preserve">8a-12p f10 </t>
        </is>
      </c>
      <c r="G6" s="48" t="n">
        <v>4</v>
      </c>
      <c r="H6" s="30" t="inlineStr">
        <is>
          <t>RO</t>
        </is>
      </c>
      <c r="I6" s="48" t="n"/>
      <c r="J6" s="36" t="inlineStr">
        <is>
          <t xml:space="preserve">8a-12p f10 </t>
        </is>
      </c>
      <c r="K6" s="48" t="n">
        <v>4</v>
      </c>
      <c r="L6" s="38" t="inlineStr">
        <is>
          <t>tbd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48" customHeight="1">
      <c r="A7" s="27" t="inlineStr">
        <is>
          <t>Sri</t>
        </is>
      </c>
      <c r="B7" s="30" t="inlineStr">
        <is>
          <t>8a-6p f9</t>
        </is>
      </c>
      <c r="C7" s="48" t="n">
        <v>9.5</v>
      </c>
      <c r="D7" s="30" t="inlineStr">
        <is>
          <t>9a-1p w fran projs</t>
        </is>
      </c>
      <c r="E7" s="61" t="n">
        <v>4</v>
      </c>
      <c r="F7" s="30" t="inlineStr">
        <is>
          <t>11:30a-12:30 f8 elev/ 12:30-1f8/ 1p-4:30p INV/ B@4:30/ 5-7 f9</t>
        </is>
      </c>
      <c r="G7" s="48" t="n">
        <v>7</v>
      </c>
      <c r="H7" s="30" t="inlineStr">
        <is>
          <t>8a-3p f9 B@12:30</t>
        </is>
      </c>
      <c r="I7" s="48" t="n">
        <v>6.5</v>
      </c>
      <c r="J7" s="30" t="n"/>
      <c r="K7" s="48" t="n"/>
      <c r="L7" s="30" t="n"/>
      <c r="M7" s="61" t="n"/>
      <c r="N7" s="28" t="n"/>
      <c r="O7" s="31" t="n"/>
      <c r="P7" s="32">
        <f>SUM(O7,M7,K7,I7,G7,E7,C7)</f>
        <v/>
      </c>
    </row>
    <row r="8" ht="16" customHeight="1">
      <c r="A8" s="27" t="inlineStr">
        <is>
          <t>Taran</t>
        </is>
      </c>
      <c r="B8" s="38" t="n"/>
      <c r="C8" s="48" t="n"/>
      <c r="D8" s="38" t="n"/>
      <c r="E8" s="48" t="n"/>
      <c r="F8" s="33" t="inlineStr">
        <is>
          <t>8a-6p f8</t>
        </is>
      </c>
      <c r="G8" s="48" t="n">
        <v>9.5</v>
      </c>
      <c r="H8" s="30" t="inlineStr">
        <is>
          <t>8a-11a f8/ 3p-7p f9</t>
        </is>
      </c>
      <c r="I8" s="48" t="n">
        <v>7</v>
      </c>
      <c r="J8" s="30" t="inlineStr">
        <is>
          <t>8a-11a f8/ 3:30p-7p f9</t>
        </is>
      </c>
      <c r="K8" s="48" t="n">
        <v>6.5</v>
      </c>
      <c r="L8" s="38" t="n"/>
      <c r="M8" s="61" t="n"/>
      <c r="N8" s="28" t="n"/>
      <c r="O8" s="31" t="n"/>
      <c r="P8" s="32">
        <f>SUM(O8,M8,K8,I8,G8,E8,C8)</f>
        <v/>
      </c>
    </row>
    <row r="9" ht="32" customHeight="1">
      <c r="A9" s="27" t="inlineStr">
        <is>
          <t>Pablo</t>
        </is>
      </c>
      <c r="B9" s="38" t="n"/>
      <c r="C9" s="48" t="n"/>
      <c r="D9" s="33" t="inlineStr">
        <is>
          <t>8a-6pf8 B@2pm</t>
        </is>
      </c>
      <c r="E9" s="48" t="n">
        <v>9.5</v>
      </c>
      <c r="F9" s="30" t="inlineStr">
        <is>
          <t>8a-5p f9</t>
        </is>
      </c>
      <c r="G9" s="48" t="n">
        <v>8.5</v>
      </c>
      <c r="H9" s="33" t="inlineStr">
        <is>
          <t>11a-6p f8</t>
        </is>
      </c>
      <c r="I9" s="48" t="n">
        <v>6.5</v>
      </c>
      <c r="J9" s="33" t="inlineStr">
        <is>
          <t>8a-3:30p f9</t>
        </is>
      </c>
      <c r="K9" s="48" t="n">
        <v>7</v>
      </c>
      <c r="L9" s="37" t="inlineStr">
        <is>
          <t>8a-1pm FURNITURE</t>
        </is>
      </c>
      <c r="M9" s="18" t="n">
        <v>5</v>
      </c>
      <c r="N9" s="28" t="n"/>
      <c r="O9" s="31" t="n"/>
      <c r="P9" s="32">
        <f>SUM(O9,M9,K9,I9,G9,E9,C9)</f>
        <v/>
      </c>
    </row>
    <row r="10" ht="32" customHeight="1">
      <c r="A10" s="27" t="inlineStr">
        <is>
          <t>Daria</t>
        </is>
      </c>
      <c r="B10" s="33" t="inlineStr">
        <is>
          <t>8a-4p f8</t>
        </is>
      </c>
      <c r="C10" s="48" t="n">
        <v>7.5</v>
      </c>
      <c r="D10" s="30" t="inlineStr">
        <is>
          <t>8a-4p f9</t>
        </is>
      </c>
      <c r="E10" s="48" t="n">
        <v>7.5</v>
      </c>
      <c r="F10" s="38" t="n"/>
      <c r="G10" s="48" t="n"/>
      <c r="H10" s="30" t="n"/>
      <c r="I10" s="48" t="n"/>
      <c r="J10" s="30" t="n"/>
      <c r="K10" s="48" t="n"/>
      <c r="L10" s="90" t="inlineStr">
        <is>
          <t>9:30-7 WFH B@3:30</t>
        </is>
      </c>
      <c r="M10" s="18" t="n">
        <v>9</v>
      </c>
      <c r="N10" s="28" t="n"/>
      <c r="O10" s="31" t="n"/>
      <c r="P10" s="32">
        <f>SUM(O10,M10,K10,I10,G10,E10,C10)</f>
        <v/>
      </c>
    </row>
    <row r="11" ht="48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8a-4:30p WFH</t>
        </is>
      </c>
      <c r="M11" s="47" t="n">
        <v>8</v>
      </c>
      <c r="N11" s="28" t="n"/>
      <c r="O11" s="31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inlineStr">
        <is>
          <t>8a-11am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8:30a-4p f12 B@1:15 (2:15p-3:15p elev f12) </t>
        </is>
      </c>
      <c r="K12" s="48" t="n">
        <v>7</v>
      </c>
      <c r="L12" s="30" t="n"/>
      <c r="M12" s="61" t="n"/>
      <c r="N12" s="28" t="n"/>
      <c r="O12" s="31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44" t="inlineStr">
        <is>
          <t xml:space="preserve">11:30a-12:30 ele F12 / 12:30-7 f12 B@3:30 </t>
        </is>
      </c>
      <c r="C13" s="48" t="n">
        <v>7</v>
      </c>
      <c r="D13" s="30" t="n"/>
      <c r="E13" s="48" t="n"/>
      <c r="F13" s="30" t="inlineStr">
        <is>
          <t>4p-7p TR f9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28" t="n"/>
      <c r="O13" s="31" t="n"/>
      <c r="P13" s="32">
        <f>SUM(O13,M13,K13,I13,G13,E13,C13)</f>
        <v/>
      </c>
    </row>
    <row r="14" ht="32" customHeight="1">
      <c r="A14" s="27" t="inlineStr">
        <is>
          <t>Osmaro</t>
        </is>
      </c>
      <c r="B14" s="30" t="inlineStr">
        <is>
          <t>4p-6p f8/ 6p-7p f9</t>
        </is>
      </c>
      <c r="C14" s="48" t="n">
        <v>3</v>
      </c>
      <c r="D14" s="30" t="inlineStr">
        <is>
          <t>2p-2:30 f8/ 2:30-3:30 elev f8/ 4p-7p f9</t>
        </is>
      </c>
      <c r="E14" s="48" t="n">
        <v>5</v>
      </c>
      <c r="F14" s="30" t="inlineStr">
        <is>
          <t>1p-4:30p INV handover</t>
        </is>
      </c>
      <c r="G14" s="48" t="n">
        <v>3.5</v>
      </c>
      <c r="H14" s="30" t="inlineStr">
        <is>
          <t>12:30p-3p f9</t>
        </is>
      </c>
      <c r="I14" s="48" t="n">
        <v>2.5</v>
      </c>
      <c r="J14" s="30" t="inlineStr">
        <is>
          <t>1p-6p f8</t>
        </is>
      </c>
      <c r="K14" s="48" t="n">
        <v>5</v>
      </c>
      <c r="L14" s="30" t="inlineStr">
        <is>
          <t>RECRUITMENT EVENT offsite</t>
        </is>
      </c>
      <c r="M14" s="61" t="n">
        <v>5</v>
      </c>
      <c r="N14" s="28" t="n"/>
      <c r="O14" s="31" t="n"/>
      <c r="P14" s="32">
        <f>SUM(O14,M14,K14,I14,G14,E14,C14)</f>
        <v/>
      </c>
    </row>
    <row r="15" ht="32" customHeight="1">
      <c r="A15" s="27" t="inlineStr">
        <is>
          <t>Jasmeen</t>
        </is>
      </c>
      <c r="B15" s="30" t="n"/>
      <c r="C15" s="48" t="n"/>
      <c r="D15" s="44" t="inlineStr">
        <is>
          <t>11:30a-12:30 ele F12 / 12:30-7 f12 B@3:30</t>
        </is>
      </c>
      <c r="E15" s="48" t="n">
        <v>7</v>
      </c>
      <c r="F15" s="44" t="inlineStr">
        <is>
          <t>11:30a-12:30 ele F12 / 12:30-7 f12 B@3:30</t>
        </is>
      </c>
      <c r="G15" s="48" t="n">
        <v>7</v>
      </c>
      <c r="H15" s="30" t="n"/>
      <c r="I15" s="48" t="n"/>
      <c r="J15" s="30" t="n"/>
      <c r="K15" s="48" t="n"/>
      <c r="L15" s="30" t="n"/>
      <c r="M15" s="61" t="n"/>
      <c r="N15" s="28" t="n"/>
      <c r="O15" s="31" t="n"/>
      <c r="P15" s="32">
        <f>SUM(O15,M15,K15,I15,G15,E15,C15)</f>
        <v/>
      </c>
    </row>
    <row r="16" ht="48" customHeight="1">
      <c r="A16" s="45" t="inlineStr">
        <is>
          <t>Francisco</t>
        </is>
      </c>
      <c r="B16" s="30" t="inlineStr">
        <is>
          <t>8a-3:30p w Adonis (11:30a-12:30 &amp; 2:30-3:30 f9 elev)</t>
        </is>
      </c>
      <c r="C16" s="48" t="n">
        <v>7</v>
      </c>
      <c r="D16" s="30" t="n"/>
      <c r="E16" s="48" t="n"/>
      <c r="F16" s="30" t="n"/>
      <c r="G16" s="48" t="n"/>
      <c r="H16" s="30" t="inlineStr">
        <is>
          <t>8a-1p w Adonis</t>
        </is>
      </c>
      <c r="I16" s="48" t="n">
        <v>5</v>
      </c>
      <c r="J16" s="30" t="inlineStr">
        <is>
          <t>8a-3:30p w Adonis (11:30a-12:30 &amp; 2:30-3:30 f9 elev)</t>
        </is>
      </c>
      <c r="K16" s="48" t="n">
        <v>7</v>
      </c>
      <c r="L16" s="30" t="n"/>
      <c r="M16" s="48" t="n"/>
      <c r="N16" s="28" t="n"/>
      <c r="O16" s="31" t="n"/>
      <c r="P16" s="32">
        <f>SUM(O16,M16,K16,I16,G16,E16,C16)</f>
        <v/>
      </c>
    </row>
    <row r="17" ht="48" customHeight="1">
      <c r="A17" s="45" t="inlineStr">
        <is>
          <t>Intern Prabesh</t>
        </is>
      </c>
      <c r="B17" s="30" t="n"/>
      <c r="C17" s="48" t="n"/>
      <c r="D17" s="30" t="inlineStr">
        <is>
          <t>8a-4p w Adonis (11:30a-12:30 &amp; 2:30-3:30 f9 elev)</t>
        </is>
      </c>
      <c r="E17" s="48" t="n">
        <v>7.5</v>
      </c>
      <c r="F17" s="30" t="inlineStr">
        <is>
          <t>8a-4p w Adonis (11:30a-12:30 &amp; 2:30-3:30 f9 elev)</t>
        </is>
      </c>
      <c r="G17" s="48" t="n">
        <v>7.5</v>
      </c>
      <c r="H17" s="30" t="n"/>
      <c r="I17" s="48" t="n"/>
      <c r="J17" s="30" t="n"/>
      <c r="K17" s="48" t="n"/>
      <c r="L17" s="30" t="n"/>
      <c r="M17" s="61" t="n"/>
      <c r="N17" s="28" t="n"/>
      <c r="O17" s="31" t="n"/>
      <c r="P17" s="32">
        <f>SUM(O17,M17,K17,I17,G17,E17,C17)</f>
        <v/>
      </c>
    </row>
    <row r="18" ht="16" customHeight="1">
      <c r="A18" s="45" t="inlineStr">
        <is>
          <t>IBU OPS</t>
        </is>
      </c>
      <c r="B18" s="30" t="n"/>
      <c r="C18" s="48" t="n"/>
      <c r="D18" s="30" t="n"/>
      <c r="E18" s="48" t="n"/>
      <c r="F18" s="30" t="n"/>
      <c r="G18" s="48" t="n"/>
      <c r="H18" s="30" t="n"/>
      <c r="I18" s="48" t="n"/>
      <c r="J18" s="30" t="n"/>
      <c r="K18" s="48" t="n"/>
      <c r="L18" s="30" t="n"/>
      <c r="M18" s="61" t="n"/>
      <c r="N18" s="28" t="n"/>
      <c r="O18" s="31" t="n"/>
      <c r="P18" s="32">
        <f>SUM(O18,M18,K18,I18,G18,E18,C18)</f>
        <v/>
      </c>
    </row>
    <row r="19" ht="16" customHeight="1">
      <c r="A19" s="52" t="inlineStr">
        <is>
          <t>Total PT DAILY HOURS</t>
        </is>
      </c>
      <c r="B19" s="3" t="n"/>
      <c r="C19" s="3">
        <f>SUM(C7:C18)</f>
        <v/>
      </c>
      <c r="D19" s="3" t="n"/>
      <c r="E19" s="3">
        <f>SUM(E7:E18)</f>
        <v/>
      </c>
      <c r="F19" s="3" t="n"/>
      <c r="G19" s="3">
        <f>SUM(G7:G18)</f>
        <v/>
      </c>
      <c r="H19" s="3" t="n"/>
      <c r="I19" s="3">
        <f>SUM(I7:I18)</f>
        <v/>
      </c>
      <c r="J19" s="3" t="n"/>
      <c r="K19" s="3">
        <f>SUM(K7:K18)</f>
        <v/>
      </c>
      <c r="L19" s="3" t="n"/>
      <c r="M19" s="3">
        <f>SUM(M7:M18)</f>
        <v/>
      </c>
      <c r="N19" s="3" t="n"/>
      <c r="O19" s="3">
        <f>SUM(O7:O18)</f>
        <v/>
      </c>
      <c r="P19" s="53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 s="91">
        <f>P19*20</f>
        <v/>
      </c>
    </row>
    <row r="22">
      <c r="B22" s="439" t="inlineStr">
        <is>
          <t>Shifts Will Vary based on class schedule, Availability &amp; RO's</t>
        </is>
      </c>
    </row>
  </sheetData>
  <mergeCells count="1">
    <mergeCell ref="B22:F22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H5" sqref="H5"/>
    </sheetView>
  </sheetViews>
  <sheetFormatPr baseColWidth="10" defaultColWidth="8.83203125" defaultRowHeight="15"/>
  <cols>
    <col width="17.5" customWidth="1" min="1" max="2"/>
    <col width="4.33203125" customWidth="1" min="3" max="3"/>
    <col width="20" customWidth="1" min="4" max="4"/>
    <col width="5.5" bestFit="1" customWidth="1" min="5" max="5"/>
    <col width="20.33203125" bestFit="1" customWidth="1" min="6" max="6"/>
    <col width="5.5" bestFit="1" customWidth="1" min="7" max="7"/>
    <col width="20.83203125" bestFit="1" customWidth="1" min="8" max="8"/>
    <col width="5.5" bestFit="1" customWidth="1" min="9" max="9"/>
    <col width="20.83203125" bestFit="1" customWidth="1" min="10" max="10"/>
    <col width="4.5" customWidth="1" min="11" max="11"/>
    <col width="14.5" bestFit="1" customWidth="1" min="12" max="12"/>
    <col width="4.6640625" bestFit="1" customWidth="1" min="13" max="13"/>
    <col width="7.1640625" bestFit="1" customWidth="1" min="14" max="14"/>
    <col width="4" customWidth="1" min="15" max="15"/>
    <col width="10.332031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45901</v>
      </c>
      <c r="C2" s="6" t="n"/>
      <c r="D2" s="5" t="n">
        <v>45902</v>
      </c>
      <c r="E2" s="6" t="n"/>
      <c r="F2" s="5" t="n">
        <v>45903</v>
      </c>
      <c r="G2" s="6" t="n"/>
      <c r="H2" s="5" t="n">
        <v>45904</v>
      </c>
      <c r="I2" s="6" t="n"/>
      <c r="J2" s="5" t="n">
        <v>45905</v>
      </c>
      <c r="K2" s="6" t="n"/>
      <c r="L2" s="5" t="n">
        <v>45906</v>
      </c>
      <c r="M2" s="6" t="n"/>
      <c r="N2" s="5" t="n">
        <v>45907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HOLIDAY LABOUR DAY</t>
        </is>
      </c>
      <c r="C3" s="64" t="n"/>
      <c r="D3" s="9" t="inlineStr">
        <is>
          <t>ORIENTATION</t>
        </is>
      </c>
      <c r="E3" s="64" t="n"/>
      <c r="F3" s="9" t="inlineStr">
        <is>
          <t>Faculty Workshop 10th floor 10a-12:30  / Enrollment continues on f12</t>
        </is>
      </c>
      <c r="G3" s="65" t="n"/>
      <c r="H3" s="9" t="inlineStr">
        <is>
          <t>FIRST DAY OF CLASS / Enrollment continues on f12</t>
        </is>
      </c>
      <c r="I3" s="64" t="n"/>
      <c r="J3" s="12" t="inlineStr">
        <is>
          <t>Enrollment continues on f12  / Furniture piclup 8am for Ottawa 24 tables+50 chairs</t>
        </is>
      </c>
      <c r="K3" s="64" t="n"/>
      <c r="L3" s="9" t="n"/>
      <c r="M3" s="18" t="n"/>
      <c r="N3" s="14" t="n"/>
      <c r="O3" s="20" t="n"/>
      <c r="P3" s="3" t="n"/>
    </row>
    <row r="4" ht="32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8a-4pm/ 10p-11pm movers</t>
        </is>
      </c>
      <c r="K4" s="18" t="n">
        <v>8</v>
      </c>
      <c r="L4" s="1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48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5" t="inlineStr">
        <is>
          <t>7:45a-4:45</t>
        </is>
      </c>
      <c r="E5" s="48" t="n">
        <v>9</v>
      </c>
      <c r="F5" s="26" t="inlineStr">
        <is>
          <t>9a-4p</t>
        </is>
      </c>
      <c r="G5" s="48" t="n">
        <v>7</v>
      </c>
      <c r="H5" s="26" t="inlineStr">
        <is>
          <t xml:space="preserve">8a-4 on the floor+  (ELEV F8 11:30-12:30 &amp; 2:30-3:30) </t>
        </is>
      </c>
      <c r="I5" s="48" t="n">
        <v>8</v>
      </c>
      <c r="J5" s="26" t="inlineStr">
        <is>
          <t>8a-4p (11:30a-3p w Fran-o f8)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0" t="n"/>
      <c r="C6" s="48" t="n"/>
      <c r="D6" s="36" t="inlineStr">
        <is>
          <t>8a-12p f12 CC</t>
        </is>
      </c>
      <c r="E6" s="48" t="n">
        <v>4</v>
      </c>
      <c r="F6" s="30" t="inlineStr">
        <is>
          <t>RO</t>
        </is>
      </c>
      <c r="G6" s="48" t="n"/>
      <c r="H6" s="36" t="inlineStr">
        <is>
          <t>8a-12pm f10 CC</t>
        </is>
      </c>
      <c r="I6" s="48" t="n">
        <v>4</v>
      </c>
      <c r="J6" s="36" t="inlineStr">
        <is>
          <t>8a-12p f10 CC</t>
        </is>
      </c>
      <c r="K6" s="48" t="n">
        <v>4</v>
      </c>
      <c r="L6" s="30" t="inlineStr">
        <is>
          <t>tbd</t>
        </is>
      </c>
      <c r="M6" s="48" t="n"/>
      <c r="N6" s="30" t="inlineStr">
        <is>
          <t>OFF</t>
        </is>
      </c>
      <c r="O6" s="18" t="n"/>
      <c r="P6" s="32">
        <f>SUM(O6,M6,K6,I6,G6,E6,C6)</f>
        <v/>
      </c>
    </row>
    <row r="7" ht="31.5" customHeight="1">
      <c r="A7" s="27" t="inlineStr">
        <is>
          <t>Sri</t>
        </is>
      </c>
      <c r="B7" s="30" t="n"/>
      <c r="C7" s="48" t="n"/>
      <c r="D7" s="30" t="inlineStr">
        <is>
          <t>8a-3 f8 event/ 3-5 PROJ</t>
        </is>
      </c>
      <c r="E7" s="48" t="n">
        <v>8.5</v>
      </c>
      <c r="F7" s="37" t="inlineStr">
        <is>
          <t xml:space="preserve">9a-6 PROJ </t>
        </is>
      </c>
      <c r="G7" s="18" t="n">
        <v>8.5</v>
      </c>
      <c r="H7" s="33" t="inlineStr">
        <is>
          <t>8a-3:30p PROJ</t>
        </is>
      </c>
      <c r="I7" s="48" t="n">
        <v>7</v>
      </c>
      <c r="J7" s="30" t="n"/>
      <c r="K7" s="48" t="n"/>
      <c r="L7" s="30" t="n"/>
      <c r="M7" s="48" t="n"/>
      <c r="N7" s="30" t="n"/>
      <c r="O7" s="18" t="n"/>
      <c r="P7" s="32">
        <f>SUM(O7,M7,K7,I7,G7,E7,C7)</f>
        <v/>
      </c>
    </row>
    <row r="8" ht="16" customHeight="1">
      <c r="A8" s="27" t="inlineStr">
        <is>
          <t>Taran</t>
        </is>
      </c>
      <c r="B8" s="38" t="n"/>
      <c r="C8" s="48" t="n"/>
      <c r="D8" s="38" t="n"/>
      <c r="E8" s="48" t="n"/>
      <c r="F8" s="83" t="inlineStr">
        <is>
          <t xml:space="preserve">9a-5p EVENT+ RESET </t>
        </is>
      </c>
      <c r="G8" s="18" t="n">
        <v>7.5</v>
      </c>
      <c r="H8" s="30" t="inlineStr">
        <is>
          <t>8a-11:30a f8/3p-7p f9</t>
        </is>
      </c>
      <c r="I8" s="48" t="n">
        <v>7.5</v>
      </c>
      <c r="J8" s="30" t="inlineStr">
        <is>
          <t>8a-11:30a f8/3p-7p f8</t>
        </is>
      </c>
      <c r="K8" s="48" t="n">
        <v>7.5</v>
      </c>
      <c r="L8" s="38" t="n"/>
      <c r="M8" s="48" t="n"/>
      <c r="N8" s="30" t="n"/>
      <c r="O8" s="18" t="n"/>
      <c r="P8" s="32">
        <f>SUM(O8,M8,K8,I8,G8,E8,C8)</f>
        <v/>
      </c>
    </row>
    <row r="9" ht="16" customHeight="1">
      <c r="A9" s="27" t="inlineStr">
        <is>
          <t>Pablo</t>
        </is>
      </c>
      <c r="B9" s="30" t="n"/>
      <c r="C9" s="48" t="n"/>
      <c r="D9" s="30" t="inlineStr">
        <is>
          <t>12:30p-8p event +RESET</t>
        </is>
      </c>
      <c r="E9" s="48" t="n">
        <v>7</v>
      </c>
      <c r="F9" s="83" t="inlineStr">
        <is>
          <t>9a-5pm RESET</t>
        </is>
      </c>
      <c r="G9" s="18" t="n">
        <v>7.5</v>
      </c>
      <c r="H9" s="30" t="n"/>
      <c r="I9" s="48" t="n"/>
      <c r="J9" s="30" t="inlineStr">
        <is>
          <t>11a-5p f9</t>
        </is>
      </c>
      <c r="K9" s="48" t="n">
        <v>5.5</v>
      </c>
      <c r="L9" s="30" t="inlineStr">
        <is>
          <t>3p-4 f8/ 4-7p f9</t>
        </is>
      </c>
      <c r="M9" s="48" t="n">
        <v>4</v>
      </c>
      <c r="N9" s="30" t="n"/>
      <c r="O9" s="18" t="n"/>
      <c r="P9" s="32">
        <f>SUM(O9,M9,K9,I9,G9,E9,C9)</f>
        <v/>
      </c>
    </row>
    <row r="10" ht="48" customHeight="1">
      <c r="A10" s="27" t="inlineStr">
        <is>
          <t>Daria</t>
        </is>
      </c>
      <c r="B10" s="30" t="n"/>
      <c r="C10" s="48" t="n"/>
      <c r="D10" s="37" t="inlineStr">
        <is>
          <t>8a-7p f9 + reset (2x 30 min brks) CLOSE building</t>
        </is>
      </c>
      <c r="E10" s="18" t="n">
        <v>10</v>
      </c>
      <c r="F10" s="36" t="n"/>
      <c r="G10" s="18" t="n"/>
      <c r="H10" s="30" t="inlineStr">
        <is>
          <t>8a-3p f9/ 3p-3:30 f8 B@11a</t>
        </is>
      </c>
      <c r="I10" s="48" t="n">
        <v>6.5</v>
      </c>
      <c r="J10" s="30" t="n"/>
      <c r="K10" s="48" t="n"/>
      <c r="L10" s="30" t="inlineStr">
        <is>
          <t>8a-4pf9</t>
        </is>
      </c>
      <c r="M10" s="48" t="n">
        <v>7.5</v>
      </c>
      <c r="N10" s="30" t="n"/>
      <c r="O10" s="18" t="n"/>
      <c r="P10" s="32">
        <f>SUM(O10,M10,K10,I10,G10,E10,C10)</f>
        <v/>
      </c>
    </row>
    <row r="11" ht="32" customHeight="1">
      <c r="A11" s="27" t="inlineStr">
        <is>
          <t>Karan</t>
        </is>
      </c>
      <c r="B11" s="30" t="n"/>
      <c r="C11" s="48" t="n"/>
      <c r="D11" s="36" t="inlineStr">
        <is>
          <t>8a-5:30p f12 B@1 CC</t>
        </is>
      </c>
      <c r="E11" s="48" t="n">
        <v>9</v>
      </c>
      <c r="F11" s="36" t="inlineStr">
        <is>
          <t>8a-4pm CC f9 B@12</t>
        </is>
      </c>
      <c r="G11" s="48" t="n">
        <v>7.5</v>
      </c>
      <c r="H11" s="30" t="inlineStr">
        <is>
          <t>11a-11:30 f9/11:30-7p f8 B@3</t>
        </is>
      </c>
      <c r="I11" s="48" t="n">
        <v>7.5</v>
      </c>
      <c r="J11" s="30" t="n"/>
      <c r="K11" s="48" t="n"/>
      <c r="L11" s="30" t="n"/>
      <c r="M11" s="48" t="n"/>
      <c r="N11" s="30" t="n"/>
      <c r="O11" s="18" t="n"/>
      <c r="P11" s="32">
        <f>SUM(O11,M11,K11,I11,G11,E11,C11)</f>
        <v/>
      </c>
    </row>
    <row r="12" ht="32" customHeight="1">
      <c r="A12" s="27" t="inlineStr">
        <is>
          <t>Kavya</t>
        </is>
      </c>
      <c r="B12" s="30" t="n"/>
      <c r="C12" s="48" t="n"/>
      <c r="D12" s="44" t="n"/>
      <c r="E12" s="48" t="n"/>
      <c r="F12" s="36" t="inlineStr">
        <is>
          <t>11a-7 CC f9 B@3</t>
        </is>
      </c>
      <c r="G12" s="48" t="n">
        <v>7.5</v>
      </c>
      <c r="H12" s="36" t="inlineStr">
        <is>
          <t xml:space="preserve">8a-4:30p f12 B@1:15 (2:15p-2:55p elev f12) </t>
        </is>
      </c>
      <c r="I12" s="45" t="n">
        <v>8</v>
      </c>
      <c r="J12" s="36" t="inlineStr">
        <is>
          <t xml:space="preserve">8a-4:30p f12 B@1:15 (2:15p-2:55p elev f12) </t>
        </is>
      </c>
      <c r="K12" s="45" t="n">
        <v>8</v>
      </c>
      <c r="L12" s="30" t="n"/>
      <c r="M12" s="48" t="n"/>
      <c r="N12" s="30" t="n"/>
      <c r="O12" s="18" t="n"/>
      <c r="P12" s="32">
        <f>SUM(O12,M12,K12,I12,G12,E12,C12)</f>
        <v/>
      </c>
    </row>
    <row r="13" ht="32" customHeight="1">
      <c r="A13" s="27" t="inlineStr">
        <is>
          <t>Chinnesha</t>
        </is>
      </c>
      <c r="B13" s="30" t="n"/>
      <c r="C13" s="48" t="n"/>
      <c r="D13" s="44" t="inlineStr">
        <is>
          <t>1p-7 f12 B@3 CC</t>
        </is>
      </c>
      <c r="E13" s="48" t="n">
        <v>5.5</v>
      </c>
      <c r="F13" s="30" t="n"/>
      <c r="G13" s="18" t="n"/>
      <c r="H13" s="44" t="inlineStr">
        <is>
          <t>11:30a-12:30 ele F12 / 11a-7p f12 B@3</t>
        </is>
      </c>
      <c r="I13" s="48" t="n">
        <v>7.5</v>
      </c>
      <c r="J13" s="44" t="inlineStr">
        <is>
          <t>11:30a-12:30 ele F12 / 11a-7p f12 B@3</t>
        </is>
      </c>
      <c r="K13" s="48" t="n">
        <v>7.5</v>
      </c>
      <c r="L13" s="36" t="inlineStr">
        <is>
          <t>3:30p-7p f12 CC</t>
        </is>
      </c>
      <c r="M13" s="48" t="n">
        <v>3.5</v>
      </c>
      <c r="N13" s="30" t="n"/>
      <c r="O13" s="18" t="n"/>
      <c r="P13" s="32">
        <f>SUM(O13,M13,K13,I13,G13,E13,C13)</f>
        <v/>
      </c>
    </row>
    <row r="14" ht="32" customHeight="1">
      <c r="A14" s="27" t="inlineStr">
        <is>
          <t>Osmaro</t>
        </is>
      </c>
      <c r="B14" s="30" t="n"/>
      <c r="C14" s="48" t="n"/>
      <c r="D14" s="30" t="inlineStr">
        <is>
          <t>8a-11 f8</t>
        </is>
      </c>
      <c r="E14" s="48" t="n">
        <v>3</v>
      </c>
      <c r="F14" s="30" t="inlineStr">
        <is>
          <t>8a-11a / 5p-7p clean+ lock up</t>
        </is>
      </c>
      <c r="G14" s="18" t="n">
        <v>5</v>
      </c>
      <c r="H14" s="30" t="n"/>
      <c r="I14" s="48" t="n"/>
      <c r="J14" s="30" t="inlineStr">
        <is>
          <t>8a-11a f9/ 5p-7p f9</t>
        </is>
      </c>
      <c r="K14" s="48" t="n">
        <v>5</v>
      </c>
      <c r="L14" s="36" t="inlineStr">
        <is>
          <t>8a-6p f8 CC B@3:30</t>
        </is>
      </c>
      <c r="M14" s="48" t="n">
        <v>9.5</v>
      </c>
      <c r="N14" s="30" t="n"/>
      <c r="O14" s="18" t="n"/>
      <c r="P14" s="32">
        <f>SUM(O14,M14,K14,I14,G14,E14,C14)</f>
        <v/>
      </c>
    </row>
    <row r="15" ht="45" customHeight="1">
      <c r="A15" s="45" t="inlineStr">
        <is>
          <t>Francisco</t>
        </is>
      </c>
      <c r="B15" s="84" t="n"/>
      <c r="C15" s="82" t="n"/>
      <c r="D15" s="82" t="inlineStr">
        <is>
          <t>12p-8p  event+ RESET</t>
        </is>
      </c>
      <c r="E15" s="82" t="n">
        <v>7.5</v>
      </c>
      <c r="F15" s="85" t="inlineStr">
        <is>
          <t>9a-3:30pm RESET</t>
        </is>
      </c>
      <c r="G15" s="82" t="n">
        <v>5.5</v>
      </c>
      <c r="H15" s="82" t="inlineStr">
        <is>
          <t xml:space="preserve">8a-3p w Adonis (ELEV F9 11:30-12:30 &amp; 2:30-3:30) </t>
        </is>
      </c>
      <c r="I15" s="82" t="n">
        <v>7.5</v>
      </c>
      <c r="J15" s="84" t="inlineStr">
        <is>
          <t>11:30a-3p f8 w Aashima TR</t>
        </is>
      </c>
      <c r="K15" s="82" t="n">
        <v>3.5</v>
      </c>
      <c r="L15" s="82" t="n"/>
      <c r="M15" s="45" t="n"/>
      <c r="N15" s="45" t="n"/>
      <c r="O15" s="18" t="n"/>
      <c r="P15" s="3">
        <f>SUM(O15,M15,K15,I15,G15,E15,C15)</f>
        <v/>
      </c>
    </row>
    <row r="16" ht="16" customHeight="1">
      <c r="A16" s="45" t="inlineStr">
        <is>
          <t>Intern Prabesh</t>
        </is>
      </c>
      <c r="B16" s="84" t="n"/>
      <c r="C16" s="82" t="n"/>
      <c r="D16" s="82" t="inlineStr">
        <is>
          <t>12p-8p  event+ RESET</t>
        </is>
      </c>
      <c r="E16" s="82" t="n">
        <v>7.5</v>
      </c>
      <c r="F16" s="85" t="inlineStr">
        <is>
          <t>9a-2pm</t>
        </is>
      </c>
      <c r="G16" s="82" t="n">
        <v>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 ht="16" customHeight="1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32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39" t="inlineStr">
        <is>
          <t>Shifts in a Perfect world: Will Vary based on class schedule, Availability &amp; RO's</t>
        </is>
      </c>
    </row>
  </sheetData>
  <mergeCells count="1">
    <mergeCell ref="B21:F21"/>
  </mergeCells>
  <pageMargins left="0.25" right="0.25" top="0.75" bottom="0.75" header="0.3" footer="0.3"/>
  <pageSetup orientation="landscape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60" zoomScaleNormal="60" zoomScaleSheetLayoutView="100" workbookViewId="0">
      <selection activeCell="L18" sqref="L18"/>
    </sheetView>
  </sheetViews>
  <sheetFormatPr baseColWidth="10" defaultColWidth="8.83203125" defaultRowHeight="15"/>
  <cols>
    <col width="13" customWidth="1" min="1" max="1"/>
    <col width="17.5" customWidth="1" min="2" max="2"/>
    <col width="5.5" customWidth="1" min="3" max="3"/>
    <col width="20" customWidth="1" min="4" max="4"/>
    <col width="6.33203125" customWidth="1" min="5" max="5"/>
    <col width="20.33203125" bestFit="1" customWidth="1" min="6" max="6"/>
    <col width="5.5" customWidth="1" min="7" max="7"/>
    <col width="20.83203125" bestFit="1" customWidth="1" min="8" max="8"/>
    <col width="5.5" customWidth="1" min="9" max="9"/>
    <col width="21" bestFit="1" customWidth="1" min="10" max="10"/>
    <col width="6.33203125" customWidth="1" min="11" max="11"/>
    <col width="19" customWidth="1" min="12" max="12"/>
    <col width="4.5" bestFit="1" customWidth="1" min="13" max="13"/>
    <col width="7.16406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45894</v>
      </c>
      <c r="C2" s="6" t="n"/>
      <c r="D2" s="5" t="n">
        <v>45895</v>
      </c>
      <c r="E2" s="6" t="n"/>
      <c r="F2" s="5" t="n">
        <v>45896</v>
      </c>
      <c r="G2" s="6" t="n"/>
      <c r="H2" s="5" t="n">
        <v>45897</v>
      </c>
      <c r="I2" s="6" t="n"/>
      <c r="J2" s="5" t="n">
        <v>45898</v>
      </c>
      <c r="K2" s="6" t="n"/>
      <c r="L2" s="5" t="n">
        <v>45899</v>
      </c>
      <c r="M2" s="6" t="n"/>
      <c r="N2" s="5" t="n">
        <v>45900</v>
      </c>
      <c r="O2" s="7" t="n"/>
      <c r="P2" s="3" t="n"/>
    </row>
    <row r="3" ht="66" customHeight="1">
      <c r="A3" s="8" t="inlineStr">
        <is>
          <t>EVENTS</t>
        </is>
      </c>
      <c r="B3" s="9" t="inlineStr">
        <is>
          <t>READING WEEK / Enrollment week f8 10a-4p</t>
        </is>
      </c>
      <c r="C3" s="64" t="n"/>
      <c r="D3" s="9" t="inlineStr">
        <is>
          <t>READING WEEK / Enrollment week f8 10a-4p</t>
        </is>
      </c>
      <c r="E3" s="64" t="n"/>
      <c r="F3" s="9" t="inlineStr">
        <is>
          <t>rm 1001 VIP Prez meeting 3-4pm/ READING WK / ENROLL WK F8 10a-4p</t>
        </is>
      </c>
      <c r="G3" s="65" t="n"/>
      <c r="H3" s="9" t="inlineStr">
        <is>
          <t>READING WEEK / Enrollment wk f8 10a-4p</t>
        </is>
      </c>
      <c r="I3" s="64" t="n"/>
      <c r="J3" s="9" t="inlineStr">
        <is>
          <t>READING WEEK / Enrollment wk f8  - 10am-4pm / Dalida last day</t>
        </is>
      </c>
      <c r="K3" s="64" t="n"/>
      <c r="L3" s="9" t="inlineStr">
        <is>
          <t>READING WEEK       Uvidi, Jasmeen &amp; Pallavi Last Day</t>
        </is>
      </c>
      <c r="M3" s="18" t="n"/>
      <c r="N3" s="18" t="n"/>
      <c r="O3" s="15" t="n"/>
      <c r="P3" s="3" t="n"/>
    </row>
    <row r="4" ht="16" customHeight="1">
      <c r="A4" s="16" t="inlineStr">
        <is>
          <t>Fran SManager</t>
        </is>
      </c>
      <c r="B4" s="17" t="inlineStr">
        <is>
          <t>9a-7p</t>
        </is>
      </c>
      <c r="C4" s="18" t="n">
        <v>10</v>
      </c>
      <c r="D4" s="17" t="inlineStr">
        <is>
          <t>9a-5:30</t>
        </is>
      </c>
      <c r="E4" s="18" t="n">
        <v>8.5</v>
      </c>
      <c r="F4" s="19" t="inlineStr">
        <is>
          <t>9a-7a</t>
        </is>
      </c>
      <c r="G4" s="18" t="n">
        <v>10</v>
      </c>
      <c r="H4" s="19" t="inlineStr">
        <is>
          <t>9a-8p</t>
        </is>
      </c>
      <c r="I4" s="18" t="n">
        <v>11</v>
      </c>
      <c r="J4" s="19" t="inlineStr">
        <is>
          <t>8a-12p</t>
        </is>
      </c>
      <c r="K4" s="18" t="n">
        <v>4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8" customHeight="1">
      <c r="A5" s="22" t="inlineStr">
        <is>
          <t>Aashima Supervisor</t>
        </is>
      </c>
      <c r="B5" s="21" t="inlineStr">
        <is>
          <t>8a-4</t>
        </is>
      </c>
      <c r="C5" s="48" t="n">
        <v>8</v>
      </c>
      <c r="D5" s="21" t="inlineStr">
        <is>
          <t>8a-12 Enrollment 12:30-4 w fran</t>
        </is>
      </c>
      <c r="E5" s="48" t="n">
        <v>8</v>
      </c>
      <c r="F5" s="21" t="inlineStr">
        <is>
          <t>9a-10 f8/10-11:30 Fran/11:30a-2:30 Tr Kavya f10/ 2:30-5 Fran</t>
        </is>
      </c>
      <c r="G5" s="48" t="n">
        <v>8</v>
      </c>
      <c r="H5" s="21" t="inlineStr">
        <is>
          <t>8a-12 TR Saraf10/ B@12/ 12:30-4 w fran</t>
        </is>
      </c>
      <c r="I5" s="48" t="n">
        <v>8</v>
      </c>
      <c r="J5" s="23" t="inlineStr">
        <is>
          <t>8a-10a w Kavya f10CC/10a-12 w fran/ 12-2p w Chinnesha/</t>
        </is>
      </c>
      <c r="K5" s="48" t="n">
        <v>8</v>
      </c>
      <c r="L5" s="21" t="n"/>
      <c r="M5" s="51" t="n"/>
      <c r="N5" s="48" t="n"/>
      <c r="O5" s="18" t="n"/>
      <c r="P5" s="3">
        <f>SUM(O5,M5,K5,I5,G5,E5,C5)</f>
        <v/>
      </c>
    </row>
    <row r="6" ht="16" customHeight="1">
      <c r="A6" s="27" t="inlineStr">
        <is>
          <t>Sarah</t>
        </is>
      </c>
      <c r="B6" s="35" t="inlineStr">
        <is>
          <t>RO</t>
        </is>
      </c>
      <c r="C6" s="61" t="n"/>
      <c r="D6" s="66" t="inlineStr">
        <is>
          <t>9a-12p f9 TR w Uvidi f12</t>
        </is>
      </c>
      <c r="E6" s="61" t="n">
        <v>3</v>
      </c>
      <c r="F6" s="66" t="inlineStr">
        <is>
          <t>8a-11a f9 TR CC w Pablo</t>
        </is>
      </c>
      <c r="G6" s="61" t="n">
        <v>3</v>
      </c>
      <c r="H6" s="66" t="inlineStr">
        <is>
          <t>8a-12p f10 w Aashima</t>
        </is>
      </c>
      <c r="I6" s="61" t="n">
        <v>4</v>
      </c>
      <c r="J6" s="28" t="n"/>
      <c r="K6" s="67" t="n"/>
      <c r="L6" s="30" t="inlineStr">
        <is>
          <t>RO</t>
        </is>
      </c>
      <c r="M6" s="61" t="n"/>
      <c r="N6" s="61" t="inlineStr">
        <is>
          <t>OFF</t>
        </is>
      </c>
      <c r="O6" s="31" t="n"/>
      <c r="P6" s="32">
        <f>SUM(O6,M6,K6,I6,G6,E6,C6)</f>
        <v/>
      </c>
    </row>
    <row r="7" ht="16" customHeight="1">
      <c r="A7" s="33" t="inlineStr">
        <is>
          <t xml:space="preserve">Sridevi </t>
        </is>
      </c>
      <c r="B7" s="54" t="inlineStr">
        <is>
          <t xml:space="preserve">8a-4p f8 </t>
        </is>
      </c>
      <c r="C7" s="48" t="n">
        <v>7.5</v>
      </c>
      <c r="D7" s="54" t="inlineStr">
        <is>
          <t xml:space="preserve">8a-4p f8 </t>
        </is>
      </c>
      <c r="E7" s="48" t="n">
        <v>7.5</v>
      </c>
      <c r="F7" s="54" t="n"/>
      <c r="G7" s="48" t="n"/>
      <c r="H7" s="54" t="inlineStr">
        <is>
          <t xml:space="preserve">8a-4p f8 </t>
        </is>
      </c>
      <c r="I7" s="48" t="n">
        <v>7.5</v>
      </c>
      <c r="J7" s="54" t="inlineStr">
        <is>
          <t xml:space="preserve">8a-4p f8 </t>
        </is>
      </c>
      <c r="K7" s="48" t="n">
        <v>7.5</v>
      </c>
      <c r="L7" s="68" t="n"/>
      <c r="M7" s="48" t="n"/>
      <c r="N7" s="48" t="n"/>
      <c r="O7" s="20" t="n"/>
      <c r="P7" s="3">
        <f>SUM(O7,M7,K7,I7,G7,E7,C7)</f>
        <v/>
      </c>
    </row>
    <row r="8" ht="32" customHeight="1">
      <c r="A8" s="33" t="inlineStr">
        <is>
          <t>Osmaro</t>
        </is>
      </c>
      <c r="B8" s="33" t="n"/>
      <c r="C8" s="48" t="n"/>
      <c r="D8" s="30" t="inlineStr">
        <is>
          <t>8a-4:30p f9/ TR Chinnesha on CC 8a-12</t>
        </is>
      </c>
      <c r="E8" s="48" t="n">
        <v>8</v>
      </c>
      <c r="F8" s="54" t="inlineStr">
        <is>
          <t>8a-11a f8 / 11a-2 CC f10</t>
        </is>
      </c>
      <c r="G8" s="48" t="n">
        <v>5.5</v>
      </c>
      <c r="H8" s="54" t="inlineStr">
        <is>
          <t xml:space="preserve">8a-4:30p f8 </t>
        </is>
      </c>
      <c r="I8" s="48" t="n">
        <v>8</v>
      </c>
      <c r="J8" s="54" t="n"/>
      <c r="K8" s="48" t="n"/>
      <c r="L8" s="30" t="n"/>
      <c r="M8" s="47" t="n"/>
      <c r="N8" s="48" t="n"/>
      <c r="O8" s="20" t="n"/>
      <c r="P8" s="3">
        <f>SUM(O8,M8,K8,I8,G8,E8,C8)</f>
        <v/>
      </c>
    </row>
    <row r="9" ht="16" customHeight="1">
      <c r="A9" s="33" t="inlineStr">
        <is>
          <t>Daria</t>
        </is>
      </c>
      <c r="B9" s="30" t="inlineStr">
        <is>
          <t>11a-7p f9</t>
        </is>
      </c>
      <c r="C9" s="48" t="n">
        <v>7.5</v>
      </c>
      <c r="D9" s="30" t="inlineStr">
        <is>
          <t>4p-7p f9</t>
        </is>
      </c>
      <c r="E9" s="48" t="n">
        <v>3</v>
      </c>
      <c r="F9" s="30" t="inlineStr">
        <is>
          <t>2p-4:30 f8/ 4:30-7p f9</t>
        </is>
      </c>
      <c r="G9" s="48" t="n">
        <v>5</v>
      </c>
      <c r="H9" s="30" t="inlineStr">
        <is>
          <t>8a-11a f9</t>
        </is>
      </c>
      <c r="I9" s="48" t="n">
        <v>3</v>
      </c>
      <c r="J9" s="30" t="inlineStr">
        <is>
          <t>4p-7p f9</t>
        </is>
      </c>
      <c r="K9" s="48" t="n">
        <v>3</v>
      </c>
      <c r="L9" s="43" t="inlineStr">
        <is>
          <t>3:30-4 CC f8/ 4-7 f9</t>
        </is>
      </c>
      <c r="M9" s="48" t="n">
        <v>3.5</v>
      </c>
      <c r="N9" s="48" t="n"/>
      <c r="O9" s="20" t="n"/>
      <c r="P9" s="3">
        <f>SUM(O9,M9,K9,I9,G9,E9,C9)</f>
        <v/>
      </c>
    </row>
    <row r="10" ht="32" customHeight="1">
      <c r="A10" s="33" t="inlineStr">
        <is>
          <t>Pablo</t>
        </is>
      </c>
      <c r="B10" s="69" t="n"/>
      <c r="C10" s="48" t="n"/>
      <c r="D10" s="30" t="n"/>
      <c r="E10" s="48" t="n"/>
      <c r="F10" s="30" t="inlineStr">
        <is>
          <t>8a-4:30p f9 / TR Sarah on CC 8a-11</t>
        </is>
      </c>
      <c r="G10" s="48" t="n">
        <v>8</v>
      </c>
      <c r="H10" s="30" t="inlineStr">
        <is>
          <t>11a-7p f9</t>
        </is>
      </c>
      <c r="I10" s="48" t="n">
        <v>8</v>
      </c>
      <c r="J10" s="54" t="inlineStr">
        <is>
          <t xml:space="preserve">8a-4:30p f8 </t>
        </is>
      </c>
      <c r="K10" s="48" t="n">
        <v>8</v>
      </c>
      <c r="L10" s="70" t="inlineStr">
        <is>
          <t>RO</t>
        </is>
      </c>
      <c r="M10" s="48" t="n"/>
      <c r="N10" s="48" t="n"/>
      <c r="O10" s="20" t="n"/>
      <c r="P10" s="3">
        <f>SUM(O10,M10,K10,I10,G10,E10,C10)</f>
        <v/>
      </c>
    </row>
    <row r="11" ht="16" customHeight="1">
      <c r="A11" s="33" t="inlineStr">
        <is>
          <t>Taran</t>
        </is>
      </c>
      <c r="B11" s="54" t="inlineStr">
        <is>
          <t xml:space="preserve">8a-4:30p f8 </t>
        </is>
      </c>
      <c r="C11" s="48" t="n">
        <v>8</v>
      </c>
      <c r="D11" s="54" t="inlineStr">
        <is>
          <t xml:space="preserve">8a-4:30p f8 </t>
        </is>
      </c>
      <c r="E11" s="48" t="n">
        <v>8</v>
      </c>
      <c r="F11" s="54" t="inlineStr">
        <is>
          <t xml:space="preserve">8a-2p f8 </t>
        </is>
      </c>
      <c r="G11" s="48" t="n">
        <v>5.5</v>
      </c>
      <c r="H11" s="30" t="n"/>
      <c r="I11" s="48" t="n"/>
      <c r="J11" s="28" t="n"/>
      <c r="K11" s="48" t="n"/>
      <c r="L11" s="71" t="n"/>
      <c r="M11" s="48" t="n"/>
      <c r="N11" s="48" t="n"/>
      <c r="O11" s="20" t="n"/>
      <c r="P11" s="3">
        <f>SUM(O11,M11,K11,I11,G11,E11,C11)</f>
        <v/>
      </c>
    </row>
    <row r="12" ht="16" customHeight="1">
      <c r="A12" s="33" t="inlineStr">
        <is>
          <t>Pallavi</t>
        </is>
      </c>
      <c r="B12" s="28" t="inlineStr">
        <is>
          <t>8a-4p f9</t>
        </is>
      </c>
      <c r="C12" s="47" t="n">
        <v>7.5</v>
      </c>
      <c r="D12" s="33" t="n"/>
      <c r="E12" s="47" t="n"/>
      <c r="F12" s="30" t="n"/>
      <c r="G12" s="48" t="n"/>
      <c r="H12" s="28" t="n"/>
      <c r="I12" s="47" t="n"/>
      <c r="J12" s="28" t="inlineStr">
        <is>
          <t>8a-4p f9</t>
        </is>
      </c>
      <c r="K12" s="47" t="n">
        <v>7.5</v>
      </c>
      <c r="L12" s="30" t="inlineStr">
        <is>
          <t xml:space="preserve">8a-4:30p f9 </t>
        </is>
      </c>
      <c r="M12" s="51" t="n">
        <v>8</v>
      </c>
      <c r="N12" s="48" t="n"/>
      <c r="O12" s="20" t="n"/>
      <c r="P12" s="3">
        <f>SUM(O12,M12,K12,I12,G12,E12,C12)</f>
        <v/>
      </c>
    </row>
    <row r="13" ht="32" customHeight="1">
      <c r="A13" s="33" t="inlineStr">
        <is>
          <t>Jasmeen</t>
        </is>
      </c>
      <c r="B13" s="23" t="inlineStr">
        <is>
          <t>1p-7p f12 B@3:30</t>
        </is>
      </c>
      <c r="C13" s="48" t="n">
        <v>5.5</v>
      </c>
      <c r="D13" s="55" t="n"/>
      <c r="E13" s="47" t="n"/>
      <c r="F13" s="23" t="inlineStr">
        <is>
          <t>10a-12 enroll f8/12-2 w Fran/2p-7p f10 CC</t>
        </is>
      </c>
      <c r="G13" s="48" t="n">
        <v>7.5</v>
      </c>
      <c r="H13" s="72" t="inlineStr">
        <is>
          <t>1p-7p</t>
        </is>
      </c>
      <c r="I13" s="73" t="n">
        <v>5.5</v>
      </c>
      <c r="J13" s="44" t="inlineStr">
        <is>
          <t>1p-7p f8</t>
        </is>
      </c>
      <c r="K13" s="48" t="n">
        <v>5.5</v>
      </c>
      <c r="L13" s="42" t="n"/>
      <c r="M13" s="51" t="n"/>
      <c r="N13" s="48" t="n"/>
      <c r="O13" s="20" t="n"/>
      <c r="P13" s="3">
        <f>SUM(O13,M13,K13,I13,G13,E13,C13)</f>
        <v/>
      </c>
    </row>
    <row r="14" ht="16" customHeight="1">
      <c r="A14" s="33" t="inlineStr">
        <is>
          <t>Karan</t>
        </is>
      </c>
      <c r="B14" s="36" t="inlineStr">
        <is>
          <t>8a-4p f12 B@1</t>
        </is>
      </c>
      <c r="C14" s="47" t="n">
        <v>7.5</v>
      </c>
      <c r="D14" s="72" t="inlineStr">
        <is>
          <t>11a-7p f12</t>
        </is>
      </c>
      <c r="E14" s="73" t="n">
        <v>7.5</v>
      </c>
      <c r="F14" s="36" t="inlineStr">
        <is>
          <t>8a-4p f12 B@1p</t>
        </is>
      </c>
      <c r="G14" s="47" t="n">
        <v>7.5</v>
      </c>
      <c r="H14" s="44" t="n"/>
      <c r="I14" s="48" t="n"/>
      <c r="J14" s="36" t="inlineStr">
        <is>
          <t>8a-1p f8</t>
        </is>
      </c>
      <c r="K14" s="47" t="n">
        <v>5</v>
      </c>
      <c r="L14" s="36" t="inlineStr">
        <is>
          <t>8a-1p f8</t>
        </is>
      </c>
      <c r="M14" s="47" t="n">
        <v>5</v>
      </c>
      <c r="N14" s="48" t="n"/>
      <c r="O14" s="20" t="n"/>
      <c r="P14" s="3">
        <f>SUM(O14,M14,K14,I14,G14,E14,C14)</f>
        <v/>
      </c>
    </row>
    <row r="15" ht="16" customHeight="1">
      <c r="A15" s="33" t="inlineStr">
        <is>
          <t>Uvidi</t>
        </is>
      </c>
      <c r="B15" s="42" t="n"/>
      <c r="C15" s="48" t="n"/>
      <c r="D15" s="36" t="inlineStr">
        <is>
          <t>8a-4p f12 B@11:30</t>
        </is>
      </c>
      <c r="E15" s="47" t="n">
        <v>7.5</v>
      </c>
      <c r="F15" s="42" t="n"/>
      <c r="G15" s="48" t="n"/>
      <c r="H15" s="36" t="inlineStr">
        <is>
          <t>8a-5 f8 B@2</t>
        </is>
      </c>
      <c r="I15" s="47" t="n">
        <v>8.5</v>
      </c>
      <c r="J15" s="42" t="n"/>
      <c r="K15" s="48" t="n"/>
      <c r="L15" s="36" t="inlineStr">
        <is>
          <t>1p-7p f8 B@3:30</t>
        </is>
      </c>
      <c r="M15" s="48" t="n">
        <v>6.5</v>
      </c>
      <c r="N15" s="48" t="n"/>
      <c r="O15" s="20" t="n"/>
      <c r="P15" s="3">
        <f>SUM(O15,M15,K15,I15,G15,E15,C15)</f>
        <v/>
      </c>
    </row>
    <row r="16" ht="48" customHeight="1">
      <c r="A16" s="33" t="inlineStr">
        <is>
          <t>Kavya TRAINIING</t>
        </is>
      </c>
      <c r="B16" s="36" t="n"/>
      <c r="C16" s="48" t="n"/>
      <c r="D16" s="44" t="n"/>
      <c r="E16" s="47" t="n"/>
      <c r="F16" s="44" t="inlineStr">
        <is>
          <t>8a-11a Tr w Karan f12/ B@11 / 11:30-2:30 w Aashima f10</t>
        </is>
      </c>
      <c r="G16" s="48" t="n">
        <v>6</v>
      </c>
      <c r="H16" s="44" t="inlineStr">
        <is>
          <t>8a-5p f8 TR w Uvidi</t>
        </is>
      </c>
      <c r="I16" s="47" t="n">
        <v>8.5</v>
      </c>
      <c r="J16" s="44" t="inlineStr">
        <is>
          <t>8a-10a w Aashima/ 10a-1p w Karan</t>
        </is>
      </c>
      <c r="K16" s="48" t="n">
        <v>5</v>
      </c>
      <c r="L16" s="44" t="inlineStr">
        <is>
          <t>1p-5p Tr w Uvidi f8</t>
        </is>
      </c>
      <c r="M16" s="48" t="n">
        <v>4</v>
      </c>
      <c r="N16" s="48" t="n"/>
      <c r="O16" s="20" t="n"/>
      <c r="P16" s="3">
        <f>SUM(O16,M16,K16,I16,G16,E16,C16)</f>
        <v/>
      </c>
    </row>
    <row r="17" ht="48" customHeight="1">
      <c r="A17" s="33" t="inlineStr">
        <is>
          <t>Chinnesha TRAINING</t>
        </is>
      </c>
      <c r="B17" s="74" t="inlineStr">
        <is>
          <t>2p-7p f12 TR w Jasmeen</t>
        </is>
      </c>
      <c r="C17" s="45" t="n">
        <v>5</v>
      </c>
      <c r="D17" s="44" t="inlineStr">
        <is>
          <t>8a-12p f9 TR w Osmaro/ B@12/ 12:30p-4 w Uvidi</t>
        </is>
      </c>
      <c r="E17" s="47" t="n">
        <v>7.5</v>
      </c>
      <c r="F17" s="44" t="inlineStr">
        <is>
          <t>11a-7p f10 TR w Osmaro/Jasmeen B@3/3:30</t>
        </is>
      </c>
      <c r="G17" s="48" t="n">
        <v>7.5</v>
      </c>
      <c r="H17" s="44" t="n"/>
      <c r="I17" s="47" t="n"/>
      <c r="J17" s="75" t="inlineStr">
        <is>
          <t>11a -12 solo CC/ 12p-1 w Aashima/ 1-3 w Jasmeen</t>
        </is>
      </c>
      <c r="K17" s="45" t="n">
        <v>4</v>
      </c>
      <c r="L17" s="76" t="n"/>
      <c r="M17" s="45" t="n"/>
      <c r="N17" s="45" t="n"/>
      <c r="O17" s="20" t="n"/>
      <c r="P17" s="3">
        <f>SUM(O17,M17,K17,I17,G17,E17,C17)</f>
        <v/>
      </c>
    </row>
    <row r="18" ht="32" customHeight="1">
      <c r="A18" s="77" t="inlineStr">
        <is>
          <t>Francisco Ops Support</t>
        </is>
      </c>
      <c r="B18" s="78" t="inlineStr">
        <is>
          <t>8a-3pm WITH ADONIS</t>
        </is>
      </c>
      <c r="C18" s="45" t="n">
        <v>6.5</v>
      </c>
      <c r="D18" s="78" t="inlineStr">
        <is>
          <t>8a-3pm WITH ADONIS</t>
        </is>
      </c>
      <c r="E18" s="45" t="n">
        <v>6.5</v>
      </c>
      <c r="F18" s="78" t="n"/>
      <c r="G18" s="45" t="n"/>
      <c r="H18" s="78" t="inlineStr">
        <is>
          <t>8a-3pm WITH ADONIS</t>
        </is>
      </c>
      <c r="I18" s="45" t="n">
        <v>6.5</v>
      </c>
      <c r="J18" s="80" t="n"/>
      <c r="K18" s="45" t="n"/>
      <c r="L18" s="77" t="n"/>
      <c r="M18" s="45" t="n"/>
      <c r="N18" s="45" t="n"/>
      <c r="O18" s="20" t="n"/>
      <c r="P18" s="3">
        <f>SUM(O18,M18,K18,I18,G18,E18,C18)</f>
        <v/>
      </c>
    </row>
    <row r="19" ht="16" customHeight="1">
      <c r="A19" s="45" t="inlineStr">
        <is>
          <t>Dalida Intern</t>
        </is>
      </c>
      <c r="B19" s="46" t="inlineStr">
        <is>
          <t>9a-2p w Fran</t>
        </is>
      </c>
      <c r="C19" s="45" t="n">
        <v>5</v>
      </c>
      <c r="D19" s="45" t="n"/>
      <c r="E19" s="45" t="n"/>
      <c r="F19" s="57" t="inlineStr">
        <is>
          <t>8a-4p w Adonis</t>
        </is>
      </c>
      <c r="G19" s="45" t="n">
        <v>7.5</v>
      </c>
      <c r="H19" s="46" t="n"/>
      <c r="I19" s="45" t="n"/>
      <c r="J19" s="57" t="inlineStr">
        <is>
          <t>8a-4p w Adonis</t>
        </is>
      </c>
      <c r="K19" s="45" t="n">
        <v>7.5</v>
      </c>
      <c r="L19" s="45" t="n"/>
      <c r="M19" s="45" t="n"/>
      <c r="N19" s="45" t="n"/>
      <c r="O19" s="20" t="n"/>
      <c r="P19" s="3">
        <f>SUM(O19,M19,K19,I19,G19,E19,C19)</f>
        <v/>
      </c>
    </row>
    <row r="20">
      <c r="A20" s="45" t="n"/>
      <c r="B20" s="46" t="n"/>
      <c r="C20" s="45" t="n"/>
      <c r="D20" s="45" t="n"/>
      <c r="E20" s="45" t="n"/>
      <c r="F20" s="57" t="n"/>
      <c r="G20" s="45" t="n"/>
      <c r="H20" s="45" t="n"/>
      <c r="I20" s="45" t="n"/>
      <c r="J20" s="49" t="n"/>
      <c r="K20" s="45" t="n"/>
      <c r="L20" s="45" t="n"/>
      <c r="M20" s="45" t="n"/>
      <c r="N20" s="45" t="n"/>
      <c r="O20" s="20" t="n"/>
      <c r="P20" s="3">
        <f>SUM(O20,M20,K20,I20,G20,E20,C20)</f>
        <v/>
      </c>
    </row>
    <row r="21" ht="16" customHeight="1">
      <c r="A21" s="77" t="inlineStr">
        <is>
          <t>IBU OPS</t>
        </is>
      </c>
      <c r="B21" s="79" t="n"/>
      <c r="C21" s="48" t="n"/>
      <c r="D21" s="79" t="n"/>
      <c r="E21" s="48" t="n"/>
      <c r="F21" s="79" t="n"/>
      <c r="G21" s="48" t="n"/>
      <c r="H21" s="79" t="n"/>
      <c r="I21" s="48" t="n"/>
      <c r="J21" s="79" t="n"/>
      <c r="K21" s="48" t="n"/>
      <c r="L21" s="81" t="n"/>
      <c r="M21" s="51" t="n"/>
      <c r="N21" s="48" t="n"/>
      <c r="O21" s="20" t="n"/>
      <c r="P21" s="3">
        <f>SUM(O21,M21,K21,I21,G21,E21,C21)</f>
        <v/>
      </c>
    </row>
    <row r="22" ht="32" customHeight="1">
      <c r="A22" s="52" t="inlineStr">
        <is>
          <t>Total PT DAILY HOURS</t>
        </is>
      </c>
      <c r="B22" s="3" t="n"/>
      <c r="C22" s="3">
        <f>SUM(C7:C21)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53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80" zoomScaleNormal="80" workbookViewId="0">
      <selection activeCell="D6" sqref="D6"/>
    </sheetView>
  </sheetViews>
  <sheetFormatPr baseColWidth="10" defaultColWidth="8.83203125" defaultRowHeight="15"/>
  <cols>
    <col width="11.1640625" customWidth="1" min="1" max="1"/>
    <col width="17.5" customWidth="1" min="2" max="2"/>
    <col width="5.5" bestFit="1" customWidth="1" min="3" max="3"/>
    <col width="20" customWidth="1" min="4" max="4"/>
    <col width="4.33203125" customWidth="1" min="5" max="5"/>
    <col width="20.33203125" bestFit="1" customWidth="1" min="6" max="6"/>
    <col width="4.5" bestFit="1" customWidth="1" min="7" max="7"/>
    <col width="20.83203125" bestFit="1" customWidth="1" min="8" max="8"/>
    <col width="4.33203125" customWidth="1" min="9" max="9"/>
    <col width="21" bestFit="1" customWidth="1" min="10" max="10"/>
    <col width="5.5" bestFit="1" customWidth="1" min="11" max="11"/>
    <col width="14.5" bestFit="1" customWidth="1" min="12" max="12"/>
    <col width="4.5" bestFit="1" customWidth="1" min="13" max="13"/>
    <col width="7.1640625" bestFit="1" customWidth="1" min="14" max="14"/>
    <col width="4" customWidth="1" min="15" max="15"/>
    <col width="7.16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45887</v>
      </c>
      <c r="C2" s="6" t="n"/>
      <c r="D2" s="5" t="n">
        <v>45888</v>
      </c>
      <c r="E2" s="6" t="n"/>
      <c r="F2" s="5" t="n">
        <v>45889</v>
      </c>
      <c r="G2" s="6" t="n"/>
      <c r="H2" s="5" t="n">
        <v>45890</v>
      </c>
      <c r="I2" s="6" t="n"/>
      <c r="J2" s="5" t="n">
        <v>45891</v>
      </c>
      <c r="K2" s="6" t="n"/>
      <c r="L2" s="5" t="n">
        <v>45892</v>
      </c>
      <c r="M2" s="6" t="n"/>
      <c r="N2" s="5" t="n">
        <v>45893</v>
      </c>
      <c r="O2" s="7" t="n"/>
      <c r="P2" s="3" t="n"/>
    </row>
    <row r="3" ht="113.25" customHeight="1">
      <c r="A3" s="8" t="inlineStr">
        <is>
          <t>EVENTS</t>
        </is>
      </c>
      <c r="B3" s="9" t="n"/>
      <c r="C3" s="10" t="n"/>
      <c r="D3" s="62" t="inlineStr">
        <is>
          <t>T&amp;Talk 1003 / LAST DAY OF CLASS                      /            * Morning praz breakfast/ Lunch for         * Vega @ 12:30 /             *Prez lunch 12:30 pick-up</t>
        </is>
      </c>
      <c r="E3" s="10" t="n"/>
      <c r="F3" s="62" t="n"/>
      <c r="G3" s="11" t="n"/>
      <c r="H3" s="62" t="inlineStr">
        <is>
          <t>all 10th FL Communicty Forum 100ppl 1p- 4p/ READING WEEK</t>
        </is>
      </c>
      <c r="I3" s="10" t="n"/>
      <c r="J3" s="62" t="inlineStr">
        <is>
          <t xml:space="preserve">READING WEEK                 CC TRAINING 8a-12p / FAREWLL for UVIDI,JAS, Manpreet, Rustam, Dalida,  Pallavi +Bday Camilla &amp; Nahim  2pm-3:30 </t>
        </is>
      </c>
      <c r="K3" s="11" t="n"/>
      <c r="L3" s="62" t="inlineStr">
        <is>
          <t>READING WEEK / Extra Cleaning - reset classrooms</t>
        </is>
      </c>
      <c r="M3" s="13" t="n"/>
      <c r="N3" s="14" t="n"/>
      <c r="O3" s="15" t="n"/>
      <c r="P3" s="3" t="n"/>
    </row>
    <row r="4" ht="32" customHeight="1">
      <c r="A4" s="16" t="inlineStr">
        <is>
          <t>Fran SManager</t>
        </is>
      </c>
      <c r="B4" s="17" t="inlineStr">
        <is>
          <t>9a-6</t>
        </is>
      </c>
      <c r="C4" s="18" t="n">
        <v>9</v>
      </c>
      <c r="D4" s="17" t="inlineStr">
        <is>
          <t>9:30-6:30p</t>
        </is>
      </c>
      <c r="E4" s="18" t="n">
        <v>9</v>
      </c>
      <c r="F4" s="19" t="inlineStr">
        <is>
          <t>9a-5</t>
        </is>
      </c>
      <c r="G4" s="18" t="n">
        <v>8</v>
      </c>
      <c r="H4" s="19" t="inlineStr">
        <is>
          <t>9:30-7p</t>
        </is>
      </c>
      <c r="I4" s="18" t="n">
        <v>9.5</v>
      </c>
      <c r="J4" s="19" t="inlineStr">
        <is>
          <t>10a-7p</t>
        </is>
      </c>
      <c r="K4" s="18" t="n">
        <v>9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32" customHeight="1">
      <c r="A5" s="22" t="inlineStr">
        <is>
          <t>Aashima Supervisor</t>
        </is>
      </c>
      <c r="B5" s="21" t="inlineStr">
        <is>
          <t>9a-5p</t>
        </is>
      </c>
      <c r="C5" s="48" t="n">
        <v>8</v>
      </c>
      <c r="D5" s="59" t="inlineStr">
        <is>
          <t xml:space="preserve">8a-5 </t>
        </is>
      </c>
      <c r="E5" s="48" t="n">
        <v>9</v>
      </c>
      <c r="F5" s="21" t="inlineStr">
        <is>
          <t>8a-9a f9/ 9a-11 w Fran /11-4 project</t>
        </is>
      </c>
      <c r="G5" s="48" t="n">
        <v>8</v>
      </c>
      <c r="H5" s="21" t="inlineStr">
        <is>
          <t>9a-5p</t>
        </is>
      </c>
      <c r="I5" s="48" t="n">
        <v>8</v>
      </c>
      <c r="J5" s="21" t="inlineStr">
        <is>
          <t>7:45a-3:45p</t>
        </is>
      </c>
      <c r="K5" s="48" t="n">
        <v>8</v>
      </c>
      <c r="L5" s="58" t="n"/>
      <c r="M5" s="51" t="n"/>
      <c r="N5" s="58" t="n"/>
      <c r="O5" s="18" t="n"/>
      <c r="P5" s="3">
        <f>SUM(O5,M5,K5,I5,G5,E5,C5)</f>
        <v/>
      </c>
    </row>
    <row r="6" ht="32" customHeight="1">
      <c r="A6" s="27" t="inlineStr">
        <is>
          <t>Sarah</t>
        </is>
      </c>
      <c r="B6" s="28" t="inlineStr">
        <is>
          <t>RO</t>
        </is>
      </c>
      <c r="C6" s="61" t="n"/>
      <c r="D6" s="63" t="inlineStr">
        <is>
          <t>9a-9:30 w fran/ 9:30-12p f12</t>
        </is>
      </c>
      <c r="E6" s="61" t="n">
        <v>3</v>
      </c>
      <c r="F6" s="44" t="inlineStr">
        <is>
          <t>8a-12p f8 TR CC</t>
        </is>
      </c>
      <c r="G6" s="61" t="n">
        <v>4</v>
      </c>
      <c r="H6" s="29" t="n"/>
      <c r="I6" s="61" t="n"/>
      <c r="J6" s="44" t="inlineStr">
        <is>
          <t xml:space="preserve">TR 8a-12p </t>
        </is>
      </c>
      <c r="K6" s="61" t="n">
        <v>4</v>
      </c>
      <c r="L6" s="30" t="inlineStr">
        <is>
          <t>RO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32" customHeight="1">
      <c r="A7" s="33" t="inlineStr">
        <is>
          <t xml:space="preserve">Sridevi </t>
        </is>
      </c>
      <c r="B7" s="30" t="inlineStr">
        <is>
          <t>RO</t>
        </is>
      </c>
      <c r="C7" s="47" t="n"/>
      <c r="D7" s="30" t="inlineStr">
        <is>
          <t>8a-6p f8 B@1:30</t>
        </is>
      </c>
      <c r="E7" s="47" t="n">
        <v>9.5</v>
      </c>
      <c r="F7" s="30" t="inlineStr">
        <is>
          <t>9a-2p w fran/ 2-3 brk/3-7 f9</t>
        </is>
      </c>
      <c r="G7" s="47" t="n">
        <v>9.5</v>
      </c>
      <c r="H7" s="34" t="inlineStr">
        <is>
          <t>8a-12:30p f9/ 5:30-6:30p</t>
        </is>
      </c>
      <c r="I7" s="48" t="n">
        <v>5.5</v>
      </c>
      <c r="J7" s="36" t="inlineStr">
        <is>
          <t>TR 8a-12p/  B@12/ 12:30-1 f8</t>
        </is>
      </c>
      <c r="K7" s="47" t="n">
        <v>5</v>
      </c>
      <c r="L7" s="35" t="n"/>
      <c r="M7" s="48" t="n"/>
      <c r="N7" s="30" t="n"/>
      <c r="O7" s="20" t="n"/>
      <c r="P7" s="3">
        <f>SUM(O7,M7,K7,I7,G7,E7,C7)</f>
        <v/>
      </c>
    </row>
    <row r="8" ht="32" customHeight="1">
      <c r="A8" s="33" t="inlineStr">
        <is>
          <t>Osmaro</t>
        </is>
      </c>
      <c r="B8" s="30" t="inlineStr">
        <is>
          <t>12p-4 inv/ B@4/ 4:30-7 f9</t>
        </is>
      </c>
      <c r="C8" s="47" t="n">
        <v>6.5</v>
      </c>
      <c r="D8" s="30" t="n"/>
      <c r="E8" s="47" t="n"/>
      <c r="F8" s="39" t="n"/>
      <c r="G8" s="47" t="n"/>
      <c r="H8" s="30" t="inlineStr">
        <is>
          <t>10a-7p help w event/ welcome table</t>
        </is>
      </c>
      <c r="I8" s="47" t="n">
        <v>8.5</v>
      </c>
      <c r="J8" s="44" t="inlineStr">
        <is>
          <t xml:space="preserve">TR 8a-12p B@12 </t>
        </is>
      </c>
      <c r="K8" s="47" t="n">
        <v>4</v>
      </c>
      <c r="L8" s="30" t="n"/>
      <c r="M8" s="47" t="n"/>
      <c r="N8" s="30" t="n"/>
      <c r="O8" s="20" t="n"/>
      <c r="P8" s="3">
        <f>SUM(O8,M8,K8,I8,G8,E8,C8)</f>
        <v/>
      </c>
    </row>
    <row r="9" ht="16" customHeight="1">
      <c r="A9" s="33" t="inlineStr">
        <is>
          <t>Daria</t>
        </is>
      </c>
      <c r="B9" s="30" t="inlineStr">
        <is>
          <t>8a-5p f9</t>
        </is>
      </c>
      <c r="C9" s="47" t="n">
        <v>8.5</v>
      </c>
      <c r="D9" s="44" t="inlineStr">
        <is>
          <t>11a-7p f10</t>
        </is>
      </c>
      <c r="E9" s="48" t="n">
        <v>7.5</v>
      </c>
      <c r="F9" s="44" t="inlineStr">
        <is>
          <t>11a-7p f12</t>
        </is>
      </c>
      <c r="G9" s="48" t="n">
        <v>7.5</v>
      </c>
      <c r="H9" s="33" t="n"/>
      <c r="I9" s="47" t="n"/>
      <c r="J9" s="30" t="n"/>
      <c r="K9" s="48" t="n"/>
      <c r="L9" s="30" t="n"/>
      <c r="M9" s="51" t="n"/>
      <c r="N9" s="30" t="n"/>
      <c r="O9" s="20" t="n"/>
      <c r="P9" s="3">
        <f>SUM(O9,M9,K9,I9,G9,E9,C9)</f>
        <v/>
      </c>
    </row>
    <row r="10" ht="32" customHeight="1">
      <c r="A10" s="33" t="inlineStr">
        <is>
          <t>Pablo</t>
        </is>
      </c>
      <c r="B10" s="41" t="n"/>
      <c r="C10" s="47" t="n"/>
      <c r="D10" s="37" t="inlineStr">
        <is>
          <t>8a-3p f9 B@1</t>
        </is>
      </c>
      <c r="E10" s="48" t="n">
        <v>6.5</v>
      </c>
      <c r="F10" s="39" t="n"/>
      <c r="G10" s="47" t="n"/>
      <c r="H10" s="30" t="n"/>
      <c r="I10" s="47" t="n"/>
      <c r="J10" s="44" t="inlineStr">
        <is>
          <t>TR 8a-12 / B@12/ 12:30-1 set-up</t>
        </is>
      </c>
      <c r="K10" s="47" t="n">
        <v>5</v>
      </c>
      <c r="L10" s="30" t="inlineStr">
        <is>
          <t>8a-7p f9 (2 30-min brk)</t>
        </is>
      </c>
      <c r="M10" s="47" t="n">
        <v>10</v>
      </c>
      <c r="N10" s="30" t="n"/>
      <c r="O10" s="20" t="n"/>
      <c r="P10" s="3">
        <f>SUM(O10,M10,K10,I10,G10,E10,C10)</f>
        <v/>
      </c>
    </row>
    <row r="11" ht="32" customHeight="1">
      <c r="A11" s="33" t="inlineStr">
        <is>
          <t>Taran</t>
        </is>
      </c>
      <c r="B11" s="54" t="inlineStr">
        <is>
          <t>12-4 inv w osmaro</t>
        </is>
      </c>
      <c r="C11" s="48" t="n">
        <v>4</v>
      </c>
      <c r="D11" s="30" t="inlineStr">
        <is>
          <t>1-1:30 f9/ 1:30-2 f8/ B@2/ 2:30-7 f9</t>
        </is>
      </c>
      <c r="E11" s="48" t="n">
        <v>5.5</v>
      </c>
      <c r="F11" s="30" t="inlineStr">
        <is>
          <t>9a-3:30 f9/ 3:30-4 w Fran</t>
        </is>
      </c>
      <c r="G11" s="47" t="n">
        <v>6.5</v>
      </c>
      <c r="H11" s="28" t="n"/>
      <c r="I11" s="48" t="n"/>
      <c r="J11" s="30" t="n"/>
      <c r="K11" s="47" t="n"/>
      <c r="L11" s="42" t="n"/>
      <c r="M11" s="48" t="n"/>
      <c r="N11" s="30" t="n"/>
      <c r="O11" s="20" t="n"/>
      <c r="P11" s="3">
        <f>SUM(O11,M11,K11,I11,G11,E11,C11)</f>
        <v/>
      </c>
    </row>
    <row r="12" ht="32" customHeight="1">
      <c r="A12" s="33" t="inlineStr">
        <is>
          <t>Pallavi</t>
        </is>
      </c>
      <c r="B12" s="54" t="inlineStr">
        <is>
          <t>8a-6 f8</t>
        </is>
      </c>
      <c r="C12" s="48" t="n">
        <v>9.5</v>
      </c>
      <c r="D12" s="30" t="n"/>
      <c r="E12" s="87" t="n"/>
      <c r="F12" s="37" t="n"/>
      <c r="G12" s="48" t="n"/>
      <c r="H12" s="30" t="inlineStr">
        <is>
          <t>RO</t>
        </is>
      </c>
      <c r="I12" s="48" t="n"/>
      <c r="J12" s="37" t="inlineStr">
        <is>
          <t>8a-7pm (1hr brk OR 2x 30 min) f9</t>
        </is>
      </c>
      <c r="K12" s="48" t="n">
        <v>10</v>
      </c>
      <c r="L12" s="40" t="n"/>
      <c r="M12" s="48" t="n"/>
      <c r="N12" s="30" t="n"/>
      <c r="O12" s="20" t="n"/>
      <c r="P12" s="3">
        <f>SUM(O12,M12,K12,I12,G12,E12,C12)</f>
        <v/>
      </c>
    </row>
    <row r="13" ht="16" customHeight="1">
      <c r="A13" s="33" t="inlineStr">
        <is>
          <t>Jasmeen</t>
        </is>
      </c>
      <c r="B13" s="44" t="inlineStr">
        <is>
          <t xml:space="preserve">11a-7p f12 </t>
        </is>
      </c>
      <c r="C13" s="48" t="n">
        <v>7.5</v>
      </c>
      <c r="D13" s="55" t="n"/>
      <c r="E13" s="47" t="n"/>
      <c r="F13" s="23" t="n"/>
      <c r="G13" s="48" t="n"/>
      <c r="H13" s="23" t="inlineStr">
        <is>
          <t>11a-7pm f9</t>
        </is>
      </c>
      <c r="I13" s="48" t="n">
        <v>7.5</v>
      </c>
      <c r="J13" s="23" t="inlineStr">
        <is>
          <t>11a-7pm f12 B@3pm</t>
        </is>
      </c>
      <c r="K13" s="48" t="n">
        <v>7.5</v>
      </c>
      <c r="L13" s="42" t="n"/>
      <c r="M13" s="51" t="n"/>
      <c r="N13" s="36" t="n"/>
      <c r="O13" s="20" t="n"/>
      <c r="P13" s="3">
        <f>SUM(O13,M13,K13,I13,G13,E13,C13)</f>
        <v/>
      </c>
    </row>
    <row r="14" ht="16" customHeight="1">
      <c r="A14" s="33" t="inlineStr">
        <is>
          <t>Karan</t>
        </is>
      </c>
      <c r="B14" s="36" t="inlineStr">
        <is>
          <t>8a-4pm f12 B@2</t>
        </is>
      </c>
      <c r="C14" s="48" t="n">
        <v>7.5</v>
      </c>
      <c r="D14" s="55" t="n"/>
      <c r="E14" s="47" t="n"/>
      <c r="F14" s="36" t="inlineStr">
        <is>
          <t>8a-4pm f8 B@12:30pm</t>
        </is>
      </c>
      <c r="G14" s="47" t="n">
        <v>7.5</v>
      </c>
      <c r="H14" s="44" t="n"/>
      <c r="I14" s="48" t="n"/>
      <c r="J14" s="36" t="inlineStr">
        <is>
          <t>8a-4pm f8 B@12:30pm</t>
        </is>
      </c>
      <c r="K14" s="47" t="n">
        <v>7.5</v>
      </c>
      <c r="L14" s="36" t="inlineStr">
        <is>
          <t>8a-4p f8 B@1pm</t>
        </is>
      </c>
      <c r="M14" s="48" t="n">
        <v>7.5</v>
      </c>
      <c r="N14" s="36" t="n"/>
      <c r="O14" s="20" t="n"/>
      <c r="P14" s="3">
        <f>SUM(O14,M14,K14,I14,G14,E14,C14)</f>
        <v/>
      </c>
    </row>
    <row r="15" ht="32" customHeight="1">
      <c r="A15" s="33" t="inlineStr">
        <is>
          <t>Uvidi</t>
        </is>
      </c>
      <c r="B15" s="42" t="n"/>
      <c r="C15" s="48" t="n"/>
      <c r="D15" s="36" t="inlineStr">
        <is>
          <t>8a-4p f12</t>
        </is>
      </c>
      <c r="E15" s="47" t="n">
        <v>7.5</v>
      </c>
      <c r="F15" s="42" t="n"/>
      <c r="G15" s="48" t="n"/>
      <c r="H15" s="36" t="inlineStr">
        <is>
          <t>8a-4p f8 B@12p</t>
        </is>
      </c>
      <c r="I15" s="48" t="n">
        <v>7.5</v>
      </c>
      <c r="J15" s="42" t="n"/>
      <c r="K15" s="48" t="n"/>
      <c r="L15" s="23" t="inlineStr">
        <is>
          <t>11a-7p f12 B@3:30pm</t>
        </is>
      </c>
      <c r="M15" s="48" t="n">
        <v>7.5</v>
      </c>
      <c r="N15" s="36" t="n"/>
      <c r="O15" s="20" t="n"/>
      <c r="P15" s="3">
        <f>SUM(O15,M15,K15,I15,G15,E15,C15)</f>
        <v/>
      </c>
    </row>
    <row r="16" ht="32" customHeight="1">
      <c r="A16" s="33" t="inlineStr">
        <is>
          <t>Kavya TRAINIING</t>
        </is>
      </c>
      <c r="B16" s="36" t="n"/>
      <c r="C16" s="48" t="n"/>
      <c r="D16" s="36" t="n"/>
      <c r="E16" s="47" t="n"/>
      <c r="F16" s="44" t="inlineStr">
        <is>
          <t>11a-7p f12 TRCC</t>
        </is>
      </c>
      <c r="G16" s="48" t="n">
        <v>7.5</v>
      </c>
      <c r="H16" s="36" t="n"/>
      <c r="I16" s="48" t="n"/>
      <c r="J16" s="44" t="inlineStr">
        <is>
          <t>TR 8a-12p /1-3 w Jasmeen</t>
        </is>
      </c>
      <c r="K16" s="48" t="n">
        <v>6.5</v>
      </c>
      <c r="L16" s="44" t="inlineStr">
        <is>
          <t>11a-4pm f12</t>
        </is>
      </c>
      <c r="M16" s="48" t="n">
        <v>5</v>
      </c>
      <c r="N16" s="36" t="n"/>
      <c r="O16" s="20" t="n"/>
      <c r="P16" s="3">
        <f>SUM(O16,M16,K16,I16,G16,E16,C16)</f>
        <v/>
      </c>
    </row>
    <row r="17" ht="32" customHeight="1">
      <c r="A17" s="33" t="inlineStr">
        <is>
          <t>Chinnesha TRAINING</t>
        </is>
      </c>
      <c r="B17" s="36" t="n"/>
      <c r="C17" s="48" t="n"/>
      <c r="D17" s="36" t="n"/>
      <c r="E17" s="47" t="n"/>
      <c r="F17" s="44" t="n"/>
      <c r="G17" s="48" t="n"/>
      <c r="H17" s="44" t="inlineStr">
        <is>
          <t>8a-4p f8 B@12pm TR CC</t>
        </is>
      </c>
      <c r="I17" s="48" t="n">
        <v>7.5</v>
      </c>
      <c r="J17" s="44" t="inlineStr">
        <is>
          <t>TR 8a-12p / 1-3 w Karan</t>
        </is>
      </c>
      <c r="K17" s="48" t="n">
        <v>6.5</v>
      </c>
      <c r="L17" s="44" t="n"/>
      <c r="M17" s="48" t="n"/>
      <c r="N17" s="36" t="n"/>
      <c r="O17" s="20" t="n"/>
      <c r="P17" s="3">
        <f>SUM(O17,M17,K17,I17,G17,E17,C17)</f>
        <v/>
      </c>
    </row>
    <row r="18" ht="36.75" customHeight="1">
      <c r="A18" s="45" t="inlineStr">
        <is>
          <t>Francisco TRAINING</t>
        </is>
      </c>
      <c r="B18" s="48" t="inlineStr">
        <is>
          <t xml:space="preserve">9a-10 w fran/10a-1p </t>
        </is>
      </c>
      <c r="C18" s="48" t="n">
        <v>4</v>
      </c>
      <c r="D18" s="48" t="n"/>
      <c r="E18" s="47" t="n"/>
      <c r="F18" s="48" t="n"/>
      <c r="G18" s="48" t="n"/>
      <c r="H18" s="48" t="inlineStr">
        <is>
          <t>8a-6:30p Reception + set-up</t>
        </is>
      </c>
      <c r="I18" s="48" t="n">
        <v>10</v>
      </c>
      <c r="J18" s="48" t="inlineStr">
        <is>
          <t>8a-3p with Adonis re-setting classrooms</t>
        </is>
      </c>
      <c r="K18" s="48" t="n">
        <v>6.5</v>
      </c>
      <c r="L18" s="56" t="n"/>
      <c r="M18" s="48" t="n"/>
      <c r="N18" s="48" t="inlineStr">
        <is>
          <t xml:space="preserve"> </t>
        </is>
      </c>
      <c r="O18" s="20" t="n"/>
      <c r="P18" s="3">
        <f>SUM(O18,M18,K18,I18,G18,E18,C18)</f>
        <v/>
      </c>
    </row>
    <row r="19" ht="85.5" customHeight="1">
      <c r="A19" s="45" t="inlineStr">
        <is>
          <t>Intern Rustam</t>
        </is>
      </c>
      <c r="B19" s="57" t="inlineStr">
        <is>
          <t>11:30a-12:30 f8 ELEV / 12:30-2:30 w Fran/ 2:30-3:30 ELEV f8/ 3:30-5:15 No brk W Fran</t>
        </is>
      </c>
      <c r="C19" s="45" t="n">
        <v>5.25</v>
      </c>
      <c r="D19" s="45" t="n"/>
      <c r="E19" s="45" t="n"/>
      <c r="F19" s="57" t="inlineStr">
        <is>
          <t>10a-2:45p w fran</t>
        </is>
      </c>
      <c r="G19" s="45" t="n">
        <v>4.75</v>
      </c>
      <c r="H19" s="45" t="n"/>
      <c r="I19" s="45" t="n"/>
      <c r="J19" s="57" t="inlineStr">
        <is>
          <t>8a-12 Aashima TR class/12-1 help Adonis set-up campus</t>
        </is>
      </c>
      <c r="K19" s="45" t="n">
        <v>5</v>
      </c>
      <c r="L19" s="45" t="n"/>
      <c r="M19" s="45" t="n"/>
      <c r="N19" s="45" t="n"/>
      <c r="O19" s="20" t="n"/>
      <c r="P19" s="3">
        <f>SUM(O19,M19,K19,I19,G19,E19,C19)</f>
        <v/>
      </c>
    </row>
    <row r="20" ht="64" customHeight="1">
      <c r="A20" s="45" t="inlineStr">
        <is>
          <t>Intern Manpreet</t>
        </is>
      </c>
      <c r="B20" s="46" t="n"/>
      <c r="C20" s="45" t="n"/>
      <c r="D20" s="57" t="inlineStr">
        <is>
          <t>11:30a-12:30 f8 ELEV / 12:30-2:30 w Fran/ 2:30-3:30 ELEV f8/ 3:30-4:30 W Fran</t>
        </is>
      </c>
      <c r="E20" s="45" t="n">
        <v>5</v>
      </c>
      <c r="F20" s="57" t="inlineStr">
        <is>
          <t>10a-3p w fran</t>
        </is>
      </c>
      <c r="G20" s="45" t="n">
        <v>5</v>
      </c>
      <c r="H20" s="45" t="n"/>
      <c r="I20" s="45" t="n"/>
      <c r="J20" s="49" t="inlineStr">
        <is>
          <t>2p-7p</t>
        </is>
      </c>
      <c r="K20" s="45" t="n">
        <v>5</v>
      </c>
      <c r="L20" s="45" t="n"/>
      <c r="M20" s="45" t="n"/>
      <c r="N20" s="45" t="n"/>
      <c r="O20" s="20" t="n"/>
      <c r="P20" s="3">
        <f>SUM(O20,M20,K20,I20,G20,E20,C20)</f>
        <v/>
      </c>
    </row>
    <row r="21" ht="32" customHeight="1">
      <c r="A21" s="45" t="inlineStr">
        <is>
          <t>Dalida FTK Intern</t>
        </is>
      </c>
      <c r="B21" s="46" t="inlineStr">
        <is>
          <t>3:30p-7p TR CC f12</t>
        </is>
      </c>
      <c r="C21" s="45" t="n">
        <v>3.5</v>
      </c>
      <c r="D21" s="60" t="inlineStr">
        <is>
          <t>8a-2:30pm f12 TR CC</t>
        </is>
      </c>
      <c r="E21" s="45" t="n">
        <v>6</v>
      </c>
      <c r="F21" s="57" t="n"/>
      <c r="G21" s="45" t="n"/>
      <c r="H21" s="45" t="inlineStr">
        <is>
          <t xml:space="preserve">9a-4p </t>
        </is>
      </c>
      <c r="I21" s="45" t="n">
        <v>6.5</v>
      </c>
      <c r="J21" s="49" t="inlineStr">
        <is>
          <t xml:space="preserve">8a-12 TR w Aashima / </t>
        </is>
      </c>
      <c r="K21" s="45" t="n">
        <v>4</v>
      </c>
      <c r="L21" s="45" t="n"/>
      <c r="M21" s="45" t="n"/>
      <c r="N21" s="45" t="n"/>
      <c r="O21" s="20" t="n"/>
      <c r="P21" s="3">
        <f>SUM(O21,M21,K21,I21,G21,E21,C21)</f>
        <v/>
      </c>
    </row>
    <row r="22" ht="16" customHeight="1">
      <c r="A22" s="45" t="inlineStr">
        <is>
          <t>IBU OPS</t>
        </is>
      </c>
      <c r="B22" s="50" t="n"/>
      <c r="C22" s="48" t="n"/>
      <c r="D22" s="50" t="n"/>
      <c r="E22" s="48" t="n"/>
      <c r="F22" s="50" t="n"/>
      <c r="G22" s="48" t="n"/>
      <c r="H22" s="50" t="inlineStr">
        <is>
          <t>Help w event</t>
        </is>
      </c>
      <c r="I22" s="48" t="n"/>
      <c r="J22" s="50" t="n"/>
      <c r="K22" s="48" t="n"/>
      <c r="L22" s="48" t="n"/>
      <c r="M22" s="51" t="n"/>
      <c r="N22" s="48" t="n"/>
      <c r="O22" s="20" t="n"/>
      <c r="P22" s="3">
        <f>SUM(O22,M22,K22,I22,G22,E22,C22)</f>
        <v/>
      </c>
    </row>
    <row r="23" ht="48" customHeight="1">
      <c r="A23" s="52" t="inlineStr">
        <is>
          <t>Total PT DAILY HOURS</t>
        </is>
      </c>
      <c r="B23" s="3" t="n"/>
      <c r="C23" s="3">
        <f>SUM(C7:C22)</f>
        <v/>
      </c>
      <c r="D23" s="3" t="n"/>
      <c r="E23" s="3">
        <f>SUM(E7:E22)</f>
        <v/>
      </c>
      <c r="F23" s="3" t="n"/>
      <c r="G23" s="3">
        <f>SUM(G7:G22)</f>
        <v/>
      </c>
      <c r="H23" s="3" t="n"/>
      <c r="I23" s="3">
        <f>SUM(I7:I22)</f>
        <v/>
      </c>
      <c r="J23" s="3" t="n"/>
      <c r="K23" s="3">
        <f>SUM(K7:K22)</f>
        <v/>
      </c>
      <c r="L23" s="3" t="n"/>
      <c r="M23" s="3">
        <f>SUM(M7:M22)</f>
        <v/>
      </c>
      <c r="N23" s="3" t="n"/>
      <c r="O23" s="3">
        <f>SUM(O7:O22)</f>
        <v/>
      </c>
      <c r="P23" s="5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C2" t="inlineStr"/>
      <c r="D2" t="inlineStr">
        <is>
          <t>manager</t>
        </is>
      </c>
      <c r="E2" t="n">
        <v>40</v>
      </c>
      <c r="F2" t="inlineStr">
        <is>
          <t>{}</t>
        </is>
      </c>
      <c r="G2" t="inlineStr">
        <is>
          <t>Yes</t>
        </is>
      </c>
      <c r="H2" t="inlineStr">
        <is>
          <t>2026-06-08T15:44:11.069810</t>
        </is>
      </c>
    </row>
    <row r="3">
      <c r="A3" t="inlineStr">
        <is>
          <t>emp_002</t>
        </is>
      </c>
      <c r="B3" t="inlineStr">
        <is>
          <t>Aashima</t>
        </is>
      </c>
      <c r="C3" t="inlineStr"/>
      <c r="D3" t="inlineStr">
        <is>
          <t>manager</t>
        </is>
      </c>
      <c r="E3" t="n">
        <v>40</v>
      </c>
      <c r="F3" t="inlineStr">
        <is>
          <t>{}</t>
        </is>
      </c>
      <c r="G3" t="inlineStr">
        <is>
          <t>Yes</t>
        </is>
      </c>
      <c r="H3" t="inlineStr">
        <is>
          <t>2026-06-08T15:44:11.069823</t>
        </is>
      </c>
    </row>
    <row r="4">
      <c r="A4" t="inlineStr">
        <is>
          <t>emp_003</t>
        </is>
      </c>
      <c r="B4" t="inlineStr">
        <is>
          <t>Nahim</t>
        </is>
      </c>
      <c r="C4" t="inlineStr"/>
      <c r="D4" t="inlineStr">
        <is>
          <t>employee</t>
        </is>
      </c>
      <c r="E4" t="n">
        <v>24</v>
      </c>
      <c r="F4" t="inlineStr">
        <is>
          <t>{}</t>
        </is>
      </c>
      <c r="G4" t="inlineStr">
        <is>
          <t>Yes</t>
        </is>
      </c>
      <c r="H4" t="inlineStr">
        <is>
          <t>2026-06-08T15:44:11.069832</t>
        </is>
      </c>
    </row>
    <row r="5">
      <c r="A5" t="inlineStr">
        <is>
          <t>emp_004</t>
        </is>
      </c>
      <c r="B5" t="inlineStr">
        <is>
          <t>Pablo</t>
        </is>
      </c>
      <c r="C5" t="inlineStr"/>
      <c r="D5" t="inlineStr">
        <is>
          <t>employee</t>
        </is>
      </c>
      <c r="E5" t="n">
        <v>24</v>
      </c>
      <c r="F5" t="inlineStr">
        <is>
          <t>{}</t>
        </is>
      </c>
      <c r="G5" t="inlineStr">
        <is>
          <t>Yes</t>
        </is>
      </c>
      <c r="H5" t="inlineStr">
        <is>
          <t>2026-06-08T15:44:11.069839</t>
        </is>
      </c>
    </row>
    <row r="6">
      <c r="A6" t="inlineStr">
        <is>
          <t>emp_005</t>
        </is>
      </c>
      <c r="B6" t="inlineStr">
        <is>
          <t>Kavya C</t>
        </is>
      </c>
      <c r="C6" t="inlineStr"/>
      <c r="D6" t="inlineStr">
        <is>
          <t>employee</t>
        </is>
      </c>
      <c r="E6" t="n">
        <v>24</v>
      </c>
      <c r="F6" t="inlineStr">
        <is>
          <t>{}</t>
        </is>
      </c>
      <c r="G6" t="inlineStr">
        <is>
          <t>Yes</t>
        </is>
      </c>
      <c r="H6" t="inlineStr">
        <is>
          <t>2026-06-08T15:44:11.069848</t>
        </is>
      </c>
    </row>
    <row r="7">
      <c r="A7" t="inlineStr">
        <is>
          <t>emp_006</t>
        </is>
      </c>
      <c r="B7" t="inlineStr">
        <is>
          <t>Mickaela  C</t>
        </is>
      </c>
      <c r="C7" t="inlineStr"/>
      <c r="D7" t="inlineStr">
        <is>
          <t>employee</t>
        </is>
      </c>
      <c r="E7" t="n">
        <v>24</v>
      </c>
      <c r="F7" t="inlineStr">
        <is>
          <t>{}</t>
        </is>
      </c>
      <c r="G7" t="inlineStr">
        <is>
          <t>Yes</t>
        </is>
      </c>
      <c r="H7" t="inlineStr">
        <is>
          <t>2026-06-08T15:44:11.069855</t>
        </is>
      </c>
    </row>
    <row r="8">
      <c r="A8" t="inlineStr">
        <is>
          <t>emp_007</t>
        </is>
      </c>
      <c r="B8" t="inlineStr">
        <is>
          <t>Viviana</t>
        </is>
      </c>
      <c r="C8" t="inlineStr"/>
      <c r="D8" t="inlineStr">
        <is>
          <t>employee</t>
        </is>
      </c>
      <c r="E8" t="n">
        <v>24</v>
      </c>
      <c r="F8" t="inlineStr">
        <is>
          <t>{}</t>
        </is>
      </c>
      <c r="G8" t="inlineStr">
        <is>
          <t>Yes</t>
        </is>
      </c>
      <c r="H8" t="inlineStr">
        <is>
          <t>2026-06-08T15:44:11.069863</t>
        </is>
      </c>
    </row>
    <row r="9">
      <c r="A9" t="inlineStr">
        <is>
          <t>emp_008</t>
        </is>
      </c>
      <c r="B9" t="inlineStr">
        <is>
          <t>Anastasia</t>
        </is>
      </c>
      <c r="C9" t="inlineStr"/>
      <c r="D9" t="inlineStr">
        <is>
          <t>employee</t>
        </is>
      </c>
      <c r="E9" t="n">
        <v>24</v>
      </c>
      <c r="F9" t="inlineStr">
        <is>
          <t>{}</t>
        </is>
      </c>
      <c r="G9" t="inlineStr">
        <is>
          <t>Yes</t>
        </is>
      </c>
      <c r="H9" t="inlineStr">
        <is>
          <t>2026-06-08T15:44:11.069871</t>
        </is>
      </c>
    </row>
    <row r="10">
      <c r="A10" t="inlineStr">
        <is>
          <t>emp_009</t>
        </is>
      </c>
      <c r="B10" t="inlineStr">
        <is>
          <t>Meg</t>
        </is>
      </c>
      <c r="C10" t="inlineStr"/>
      <c r="D10" t="inlineStr">
        <is>
          <t>employee</t>
        </is>
      </c>
      <c r="E10" t="n">
        <v>24</v>
      </c>
      <c r="F10" t="inlineStr">
        <is>
          <t>{}</t>
        </is>
      </c>
      <c r="G10" t="inlineStr">
        <is>
          <t>Yes</t>
        </is>
      </c>
      <c r="H10" t="inlineStr">
        <is>
          <t>2026-06-08T15:44:11.069879</t>
        </is>
      </c>
    </row>
    <row r="11">
      <c r="A11" t="inlineStr">
        <is>
          <t>emp_010</t>
        </is>
      </c>
      <c r="B11" t="inlineStr">
        <is>
          <t>Achal</t>
        </is>
      </c>
      <c r="C11" t="inlineStr"/>
      <c r="D11" t="inlineStr">
        <is>
          <t>employee</t>
        </is>
      </c>
      <c r="E11" t="n">
        <v>24</v>
      </c>
      <c r="F11" t="inlineStr">
        <is>
          <t>{}</t>
        </is>
      </c>
      <c r="G11" t="inlineStr">
        <is>
          <t>Yes</t>
        </is>
      </c>
      <c r="H11" t="inlineStr">
        <is>
          <t>2026-06-08T15:44:11.069887</t>
        </is>
      </c>
    </row>
    <row r="12">
      <c r="A12" t="inlineStr">
        <is>
          <t>emp_011</t>
        </is>
      </c>
      <c r="B12" t="inlineStr">
        <is>
          <t>Priyanka</t>
        </is>
      </c>
      <c r="C12" t="inlineStr"/>
      <c r="D12" t="inlineStr">
        <is>
          <t>employee</t>
        </is>
      </c>
      <c r="E12" t="n">
        <v>24</v>
      </c>
      <c r="F12" t="inlineStr">
        <is>
          <t>{}</t>
        </is>
      </c>
      <c r="G12" t="inlineStr">
        <is>
          <t>Yes</t>
        </is>
      </c>
      <c r="H12" t="inlineStr">
        <is>
          <t>2026-06-08T15:44:11.069895</t>
        </is>
      </c>
    </row>
    <row r="13">
      <c r="A13" t="inlineStr">
        <is>
          <t>emp_012</t>
        </is>
      </c>
      <c r="B13" t="inlineStr">
        <is>
          <t>Arfa C</t>
        </is>
      </c>
      <c r="C13" t="inlineStr"/>
      <c r="D13" t="inlineStr">
        <is>
          <t>employee</t>
        </is>
      </c>
      <c r="E13" t="n">
        <v>24</v>
      </c>
      <c r="F13" t="inlineStr">
        <is>
          <t>{}</t>
        </is>
      </c>
      <c r="G13" t="inlineStr">
        <is>
          <t>Yes</t>
        </is>
      </c>
      <c r="H13" t="inlineStr">
        <is>
          <t>2026-06-08T15:44:11.069903</t>
        </is>
      </c>
    </row>
    <row r="14">
      <c r="A14" t="inlineStr">
        <is>
          <t>emp_013</t>
        </is>
      </c>
      <c r="B14" t="inlineStr">
        <is>
          <t>Taran C</t>
        </is>
      </c>
      <c r="C14" t="inlineStr"/>
      <c r="D14" t="inlineStr">
        <is>
          <t>employee</t>
        </is>
      </c>
      <c r="E14" t="n">
        <v>24</v>
      </c>
      <c r="F14" t="inlineStr">
        <is>
          <t>{}</t>
        </is>
      </c>
      <c r="G14" t="inlineStr">
        <is>
          <t>Yes</t>
        </is>
      </c>
      <c r="H14" t="inlineStr">
        <is>
          <t>2026-06-08T15:44:11.069911</t>
        </is>
      </c>
    </row>
    <row r="15">
      <c r="A15" t="inlineStr">
        <is>
          <t>emp_014</t>
        </is>
      </c>
      <c r="B15" t="inlineStr">
        <is>
          <t>Sagar C</t>
        </is>
      </c>
      <c r="C15" t="inlineStr"/>
      <c r="D15" t="inlineStr">
        <is>
          <t>employee</t>
        </is>
      </c>
      <c r="E15" t="n">
        <v>24</v>
      </c>
      <c r="F15" t="inlineStr">
        <is>
          <t>{}</t>
        </is>
      </c>
      <c r="G15" t="inlineStr">
        <is>
          <t>Yes</t>
        </is>
      </c>
      <c r="H15" t="inlineStr">
        <is>
          <t>2026-06-08T15:44:11.069919</t>
        </is>
      </c>
    </row>
    <row r="16">
      <c r="A16" t="inlineStr">
        <is>
          <t>emp_015</t>
        </is>
      </c>
      <c r="B16" t="inlineStr">
        <is>
          <t>Itohan</t>
        </is>
      </c>
      <c r="C16" t="inlineStr"/>
      <c r="D16" t="inlineStr">
        <is>
          <t>employee</t>
        </is>
      </c>
      <c r="E16" t="n">
        <v>24</v>
      </c>
      <c r="F16" t="inlineStr">
        <is>
          <t>{}</t>
        </is>
      </c>
      <c r="G16" t="inlineStr">
        <is>
          <t>Yes</t>
        </is>
      </c>
      <c r="H16" t="inlineStr">
        <is>
          <t>2026-06-08T15:44:11.069927</t>
        </is>
      </c>
    </row>
    <row r="17">
      <c r="A17" t="inlineStr">
        <is>
          <t>emp_016</t>
        </is>
      </c>
      <c r="B17" t="inlineStr">
        <is>
          <t>Arnob</t>
        </is>
      </c>
      <c r="C17" t="inlineStr"/>
      <c r="D17" t="inlineStr">
        <is>
          <t>employee</t>
        </is>
      </c>
      <c r="E17" t="n">
        <v>24</v>
      </c>
      <c r="F17" t="inlineStr">
        <is>
          <t>{}</t>
        </is>
      </c>
      <c r="G17" t="inlineStr">
        <is>
          <t>Yes</t>
        </is>
      </c>
      <c r="H17" t="inlineStr">
        <is>
          <t>2026-06-08T15:44:11.069934</t>
        </is>
      </c>
    </row>
    <row r="18">
      <c r="A18" t="inlineStr">
        <is>
          <t>emp_017</t>
        </is>
      </c>
      <c r="B18" t="inlineStr">
        <is>
          <t>Intern- Levi</t>
        </is>
      </c>
      <c r="C18" t="inlineStr"/>
      <c r="D18" t="inlineStr">
        <is>
          <t>employee</t>
        </is>
      </c>
      <c r="E18" t="n">
        <v>24</v>
      </c>
      <c r="F18" t="inlineStr">
        <is>
          <t>{}</t>
        </is>
      </c>
      <c r="G18" t="inlineStr">
        <is>
          <t>Yes</t>
        </is>
      </c>
      <c r="H18" t="inlineStr">
        <is>
          <t>2026-06-08T15:44:11.069942</t>
        </is>
      </c>
    </row>
    <row r="19">
      <c r="A19" t="inlineStr">
        <is>
          <t>emp_018</t>
        </is>
      </c>
      <c r="B19" t="inlineStr">
        <is>
          <t>Intern - Himanshu</t>
        </is>
      </c>
      <c r="C19" t="inlineStr"/>
      <c r="D19" t="inlineStr">
        <is>
          <t>employee</t>
        </is>
      </c>
      <c r="E19" t="n">
        <v>24</v>
      </c>
      <c r="F19" t="inlineStr">
        <is>
          <t>{}</t>
        </is>
      </c>
      <c r="G19" t="inlineStr">
        <is>
          <t>Yes</t>
        </is>
      </c>
      <c r="H19" t="inlineStr">
        <is>
          <t>2026-06-08T15:44:11.069949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Francisca Vasquez</dc:creator>
  <dcterms:created xmlns:dcterms="http://purl.org/dc/terms/" xmlns:xsi="http://www.w3.org/2001/XMLSchema-instance" xsi:type="dcterms:W3CDTF">2025-08-15T14:51:05Z</dcterms:created>
  <dcterms:modified xmlns:dcterms="http://purl.org/dc/terms/" xmlns:xsi="http://www.w3.org/2001/XMLSchema-instance" xsi:type="dcterms:W3CDTF">2026-06-08T19:44:11Z</dcterms:modified>
  <cp:lastModifiedBy>Levi Santos Araujo</cp:lastModifiedBy>
</cp:coreProperties>
</file>
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ibucanada-my.sharepoint.com/personal/fvasquez_ibu_ca/Documents/"/>
    </mc:Choice>
  </mc:AlternateContent>
  <xr:revisionPtr revIDLastSave="0" documentId="8_{3ED53738-F678-4682-B804-91142FBB4A35}" xr6:coauthVersionLast="47" xr6:coauthVersionMax="47" xr10:uidLastSave="{00000000-0000-0000-0000-000000000000}"/>
  <bookViews>
    <workbookView xWindow="-108" yWindow="-108" windowWidth="23256" windowHeight="13896" xr2:uid="{8A969F95-6B4B-4174-A261-D8687BA08F19}"/>
  </bookViews>
  <sheets>
    <sheet name="June 15-21" sheetId="56" r:id="rId1"/>
    <sheet name="FINAL June 8-14 " sheetId="55" r:id="rId2"/>
    <sheet name="June 1-7" sheetId="54" r:id="rId3"/>
    <sheet name="May 25-31" sheetId="53" r:id="rId4"/>
    <sheet name="May 18-24" sheetId="52" r:id="rId5"/>
    <sheet name="May 11-17" sheetId="51" r:id="rId6"/>
    <sheet name="May 4-10" sheetId="50" r:id="rId7"/>
    <sheet name="April 27- May 3" sheetId="49" r:id="rId8"/>
    <sheet name="April 20-26" sheetId="48" r:id="rId9"/>
    <sheet name="April 13-19" sheetId="47" r:id="rId10"/>
    <sheet name="April 6-12" sheetId="46" r:id="rId11"/>
    <sheet name="March 30-April 5" sheetId="45" r:id="rId12"/>
    <sheet name="March 23-29" sheetId="44" r:id="rId13"/>
    <sheet name="MARCH 16 - 22" sheetId="43" r:id="rId14"/>
    <sheet name="March 9 - 15" sheetId="42" r:id="rId15"/>
    <sheet name="March 2-8" sheetId="41" r:id="rId16"/>
    <sheet name="FEB 23-March 1" sheetId="40" r:id="rId17"/>
    <sheet name="FEB 16-22" sheetId="39" r:id="rId18"/>
    <sheet name="FEB 9 TO 15" sheetId="38" r:id="rId19"/>
    <sheet name="FEB 2-8" sheetId="37" r:id="rId20"/>
    <sheet name="Jan 26- feb 1" sheetId="36" r:id="rId21"/>
    <sheet name="Jan 19-25" sheetId="35" r:id="rId22"/>
    <sheet name="Jan 12-18" sheetId="34" r:id="rId23"/>
    <sheet name="Jan 5-11" sheetId="33" r:id="rId24"/>
    <sheet name="Dec 29-jan 4" sheetId="32" r:id="rId25"/>
    <sheet name="Dec 22-28" sheetId="31" r:id="rId26"/>
    <sheet name="Dec 15-21" sheetId="29" r:id="rId27"/>
    <sheet name="Dec 8-14" sheetId="28" r:id="rId28"/>
    <sheet name="Dec 1-7" sheetId="27" r:id="rId29"/>
    <sheet name="Nov 24-30" sheetId="25" r:id="rId30"/>
    <sheet name="Nov 17-23  " sheetId="23" r:id="rId31"/>
    <sheet name="Nov 10-16" sheetId="21" r:id="rId32"/>
    <sheet name="Nov 3 - 9" sheetId="20" r:id="rId33"/>
    <sheet name="OCT 27-nov 2" sheetId="19" r:id="rId34"/>
    <sheet name="OCT 20-26" sheetId="18" r:id="rId35"/>
    <sheet name="OCT 13-19" sheetId="17" r:id="rId36"/>
    <sheet name="OCT 6-12" sheetId="16" r:id="rId37"/>
    <sheet name="Sept 29 - OCT 5 " sheetId="15" r:id="rId38"/>
    <sheet name="Sept 22 - 28 " sheetId="13" r:id="rId39"/>
    <sheet name="Sept 15 - 21" sheetId="11" r:id="rId40"/>
    <sheet name="Sept 8-14" sheetId="9" r:id="rId41"/>
    <sheet name="Sept 1-7" sheetId="8" r:id="rId42"/>
    <sheet name="Aug 25-31" sheetId="5" r:id="rId43"/>
    <sheet name="Aug 18-24" sheetId="4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56" l="1"/>
  <c r="M22" i="56"/>
  <c r="M23" i="56" s="1"/>
  <c r="K22" i="56"/>
  <c r="K23" i="56" s="1"/>
  <c r="I22" i="56"/>
  <c r="I23" i="56" s="1"/>
  <c r="G22" i="56"/>
  <c r="G23" i="56" s="1"/>
  <c r="E22" i="56"/>
  <c r="E23" i="56" s="1"/>
  <c r="C22" i="56"/>
  <c r="C23" i="56" s="1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P6" i="56"/>
  <c r="P5" i="56"/>
  <c r="P4" i="56"/>
  <c r="G22" i="54"/>
  <c r="G23" i="54"/>
  <c r="M22" i="54"/>
  <c r="K22" i="54"/>
  <c r="I22" i="54"/>
  <c r="E22" i="54"/>
  <c r="E23" i="54"/>
  <c r="C22" i="54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8" i="55"/>
  <c r="P7" i="55"/>
  <c r="M23" i="55"/>
  <c r="K23" i="55"/>
  <c r="I22" i="55"/>
  <c r="O22" i="55"/>
  <c r="M22" i="55"/>
  <c r="K22" i="55"/>
  <c r="G22" i="55"/>
  <c r="C22" i="55"/>
  <c r="E22" i="55"/>
  <c r="P22" i="55"/>
  <c r="C23" i="55"/>
  <c r="I23" i="55"/>
  <c r="G23" i="55"/>
  <c r="Q32" i="55"/>
  <c r="P6" i="55"/>
  <c r="P5" i="55"/>
  <c r="P4" i="55"/>
  <c r="M23" i="54"/>
  <c r="I23" i="54"/>
  <c r="C23" i="54"/>
  <c r="K23" i="54"/>
  <c r="O22" i="54"/>
  <c r="P21" i="54"/>
  <c r="P20" i="54"/>
  <c r="P19" i="54"/>
  <c r="P18" i="54"/>
  <c r="P17" i="54"/>
  <c r="P16" i="54"/>
  <c r="P15" i="54"/>
  <c r="P14" i="54"/>
  <c r="P13" i="54"/>
  <c r="P12" i="54"/>
  <c r="P11" i="54"/>
  <c r="P10" i="54"/>
  <c r="P9" i="54"/>
  <c r="P8" i="54"/>
  <c r="P7" i="54"/>
  <c r="P6" i="54"/>
  <c r="P5" i="54"/>
  <c r="P4" i="54"/>
  <c r="P19" i="53"/>
  <c r="O22" i="53"/>
  <c r="M22" i="53"/>
  <c r="K22" i="53"/>
  <c r="I22" i="53"/>
  <c r="C22" i="53"/>
  <c r="E22" i="53"/>
  <c r="G22" i="53"/>
  <c r="P22" i="53"/>
  <c r="Q32" i="53"/>
  <c r="P4" i="53"/>
  <c r="P5" i="53"/>
  <c r="P6" i="53"/>
  <c r="P7" i="53"/>
  <c r="P8" i="53"/>
  <c r="P9" i="53"/>
  <c r="P10" i="53"/>
  <c r="P11" i="53"/>
  <c r="P12" i="53"/>
  <c r="P13" i="53"/>
  <c r="P14" i="53"/>
  <c r="P15" i="53"/>
  <c r="P16" i="53"/>
  <c r="P17" i="53"/>
  <c r="P18" i="53"/>
  <c r="P20" i="53"/>
  <c r="P21" i="53"/>
  <c r="C23" i="53"/>
  <c r="G23" i="53"/>
  <c r="I23" i="53"/>
  <c r="K23" i="53"/>
  <c r="M23" i="53"/>
  <c r="P6" i="52"/>
  <c r="O22" i="52"/>
  <c r="M22" i="52"/>
  <c r="K22" i="52"/>
  <c r="I22" i="52"/>
  <c r="C22" i="52"/>
  <c r="E22" i="52"/>
  <c r="G22" i="52"/>
  <c r="P22" i="52"/>
  <c r="Q32" i="52"/>
  <c r="P4" i="52"/>
  <c r="P5" i="52"/>
  <c r="P7" i="52"/>
  <c r="P8" i="52"/>
  <c r="P9" i="52"/>
  <c r="P10" i="52"/>
  <c r="P11" i="52"/>
  <c r="P12" i="52"/>
  <c r="P13" i="52"/>
  <c r="P14" i="52"/>
  <c r="P15" i="52"/>
  <c r="P16" i="52"/>
  <c r="P17" i="52"/>
  <c r="P18" i="52"/>
  <c r="P20" i="52"/>
  <c r="P21" i="52"/>
  <c r="C23" i="52"/>
  <c r="G23" i="52"/>
  <c r="I23" i="52"/>
  <c r="K23" i="52"/>
  <c r="M23" i="52"/>
  <c r="P18" i="51"/>
  <c r="O22" i="51"/>
  <c r="M22" i="51"/>
  <c r="M23" i="51"/>
  <c r="K22" i="51"/>
  <c r="K23" i="51"/>
  <c r="I22" i="51"/>
  <c r="I23" i="51"/>
  <c r="G22" i="51"/>
  <c r="G23" i="51"/>
  <c r="E22" i="51"/>
  <c r="C22" i="51"/>
  <c r="C23" i="51"/>
  <c r="P21" i="51"/>
  <c r="P20" i="51"/>
  <c r="P19" i="51"/>
  <c r="P17" i="51"/>
  <c r="P16" i="51"/>
  <c r="P15" i="51"/>
  <c r="P14" i="51"/>
  <c r="P13" i="51"/>
  <c r="P12" i="51"/>
  <c r="P11" i="51"/>
  <c r="P10" i="51"/>
  <c r="P9" i="51"/>
  <c r="P8" i="51"/>
  <c r="P7" i="51"/>
  <c r="P6" i="51"/>
  <c r="P5" i="51"/>
  <c r="P4" i="51"/>
  <c r="O23" i="50"/>
  <c r="M23" i="50"/>
  <c r="M24" i="50"/>
  <c r="K23" i="50"/>
  <c r="K24" i="50"/>
  <c r="I23" i="50"/>
  <c r="I24" i="50"/>
  <c r="G23" i="50"/>
  <c r="G24" i="50"/>
  <c r="E23" i="50"/>
  <c r="C23" i="50"/>
  <c r="C24" i="50"/>
  <c r="P22" i="50"/>
  <c r="P21" i="50"/>
  <c r="P19" i="50"/>
  <c r="P18" i="50"/>
  <c r="P17" i="50"/>
  <c r="P16" i="50"/>
  <c r="P15" i="50"/>
  <c r="P14" i="50"/>
  <c r="P13" i="50"/>
  <c r="P12" i="50"/>
  <c r="P11" i="50"/>
  <c r="P10" i="50"/>
  <c r="P9" i="50"/>
  <c r="P8" i="50"/>
  <c r="P7" i="50"/>
  <c r="P6" i="50"/>
  <c r="P5" i="50"/>
  <c r="P4" i="50"/>
  <c r="I24" i="49"/>
  <c r="O23" i="49"/>
  <c r="M23" i="49"/>
  <c r="M24" i="49"/>
  <c r="K23" i="49"/>
  <c r="K24" i="49"/>
  <c r="I23" i="49"/>
  <c r="G23" i="49"/>
  <c r="G24" i="49"/>
  <c r="E23" i="49"/>
  <c r="C23" i="49"/>
  <c r="C24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P16" i="48"/>
  <c r="P14" i="48"/>
  <c r="P22" i="46"/>
  <c r="P23" i="46"/>
  <c r="G22" i="46"/>
  <c r="M22" i="46"/>
  <c r="K22" i="46"/>
  <c r="I22" i="46"/>
  <c r="I23" i="46"/>
  <c r="G23" i="46"/>
  <c r="E22" i="46"/>
  <c r="C22" i="46"/>
  <c r="O23" i="46"/>
  <c r="P21" i="47"/>
  <c r="C22" i="48"/>
  <c r="E22" i="48"/>
  <c r="E23" i="48"/>
  <c r="G22" i="48"/>
  <c r="I22" i="48"/>
  <c r="K22" i="48"/>
  <c r="M22" i="48"/>
  <c r="P22" i="47"/>
  <c r="Q21" i="47"/>
  <c r="Q26" i="47"/>
  <c r="P6" i="47"/>
  <c r="C22" i="47"/>
  <c r="E22" i="47"/>
  <c r="G22" i="47"/>
  <c r="I22" i="47"/>
  <c r="M22" i="47"/>
  <c r="O22" i="47"/>
  <c r="O21" i="47"/>
  <c r="M21" i="47"/>
  <c r="K21" i="47"/>
  <c r="I21" i="47"/>
  <c r="G21" i="47"/>
  <c r="E21" i="47"/>
  <c r="C21" i="47"/>
  <c r="P21" i="42"/>
  <c r="Q22" i="46"/>
  <c r="P21" i="41"/>
  <c r="O22" i="48"/>
  <c r="M23" i="48"/>
  <c r="K23" i="48"/>
  <c r="G23" i="48"/>
  <c r="C23" i="48"/>
  <c r="P21" i="48"/>
  <c r="P20" i="48"/>
  <c r="P19" i="48"/>
  <c r="P18" i="48"/>
  <c r="P17" i="48"/>
  <c r="P15" i="48"/>
  <c r="P13" i="48"/>
  <c r="P12" i="48"/>
  <c r="P11" i="48"/>
  <c r="P10" i="48"/>
  <c r="P9" i="48"/>
  <c r="P8" i="48"/>
  <c r="P7" i="48"/>
  <c r="P6" i="48"/>
  <c r="P5" i="48"/>
  <c r="P4" i="48"/>
  <c r="K22" i="47"/>
  <c r="P20" i="47"/>
  <c r="P19" i="47"/>
  <c r="P18" i="47"/>
  <c r="P17" i="47"/>
  <c r="P16" i="47"/>
  <c r="P15" i="47"/>
  <c r="P14" i="47"/>
  <c r="P13" i="47"/>
  <c r="P12" i="47"/>
  <c r="P11" i="47"/>
  <c r="P10" i="47"/>
  <c r="P9" i="47"/>
  <c r="P8" i="47"/>
  <c r="P7" i="47"/>
  <c r="P5" i="47"/>
  <c r="P4" i="47"/>
  <c r="O22" i="46"/>
  <c r="P4" i="46"/>
  <c r="P5" i="46"/>
  <c r="P6" i="46"/>
  <c r="P7" i="46"/>
  <c r="P8" i="46"/>
  <c r="P9" i="46"/>
  <c r="P10" i="46"/>
  <c r="P11" i="46"/>
  <c r="P12" i="46"/>
  <c r="P13" i="46"/>
  <c r="P14" i="46"/>
  <c r="P15" i="46"/>
  <c r="P16" i="46"/>
  <c r="P17" i="46"/>
  <c r="P18" i="46"/>
  <c r="P19" i="46"/>
  <c r="P20" i="46"/>
  <c r="P21" i="46"/>
  <c r="C23" i="46"/>
  <c r="E23" i="46"/>
  <c r="K23" i="46"/>
  <c r="M23" i="46"/>
  <c r="P12" i="45"/>
  <c r="O22" i="45"/>
  <c r="M22" i="45"/>
  <c r="I22" i="45"/>
  <c r="I23" i="45"/>
  <c r="G22" i="45"/>
  <c r="E22" i="45"/>
  <c r="E23" i="45"/>
  <c r="C22" i="45"/>
  <c r="G23" i="45"/>
  <c r="K22" i="45"/>
  <c r="M23" i="45"/>
  <c r="P19" i="45"/>
  <c r="P22" i="45"/>
  <c r="P4" i="45"/>
  <c r="P5" i="45"/>
  <c r="P6" i="45"/>
  <c r="P7" i="45"/>
  <c r="P8" i="45"/>
  <c r="P9" i="45"/>
  <c r="P10" i="45"/>
  <c r="P11" i="45"/>
  <c r="P13" i="45"/>
  <c r="P14" i="45"/>
  <c r="P15" i="45"/>
  <c r="P16" i="45"/>
  <c r="P17" i="45"/>
  <c r="P18" i="45"/>
  <c r="P20" i="45"/>
  <c r="P21" i="45"/>
  <c r="C23" i="45"/>
  <c r="C21" i="44"/>
  <c r="C22" i="44"/>
  <c r="O21" i="44"/>
  <c r="M21" i="44"/>
  <c r="M22" i="44"/>
  <c r="K21" i="44"/>
  <c r="K22" i="44"/>
  <c r="I21" i="44"/>
  <c r="I22" i="44"/>
  <c r="G21" i="44"/>
  <c r="G22" i="44"/>
  <c r="E21" i="44"/>
  <c r="P20" i="44"/>
  <c r="P19" i="44"/>
  <c r="P18" i="44"/>
  <c r="P17" i="44"/>
  <c r="P16" i="44"/>
  <c r="P15" i="44"/>
  <c r="P14" i="44"/>
  <c r="P13" i="44"/>
  <c r="P12" i="44"/>
  <c r="P11" i="44"/>
  <c r="P10" i="44"/>
  <c r="P9" i="44"/>
  <c r="P8" i="44"/>
  <c r="P7" i="44"/>
  <c r="P6" i="44"/>
  <c r="P5" i="44"/>
  <c r="P4" i="44"/>
  <c r="O21" i="43"/>
  <c r="M21" i="43"/>
  <c r="M22" i="43"/>
  <c r="K21" i="43"/>
  <c r="I21" i="43"/>
  <c r="G21" i="43"/>
  <c r="E21" i="43"/>
  <c r="C21" i="43"/>
  <c r="P4" i="43"/>
  <c r="P5" i="43"/>
  <c r="P6" i="43"/>
  <c r="P7" i="43"/>
  <c r="P8" i="43"/>
  <c r="P9" i="43"/>
  <c r="P10" i="43"/>
  <c r="P11" i="43"/>
  <c r="P12" i="43"/>
  <c r="P13" i="43"/>
  <c r="P14" i="43"/>
  <c r="P15" i="43"/>
  <c r="P16" i="43"/>
  <c r="P17" i="43"/>
  <c r="P18" i="43"/>
  <c r="P19" i="43"/>
  <c r="P20" i="43"/>
  <c r="C22" i="43"/>
  <c r="G22" i="43"/>
  <c r="I22" i="43"/>
  <c r="K22" i="43"/>
  <c r="M21" i="42"/>
  <c r="K21" i="42"/>
  <c r="G21" i="42"/>
  <c r="Q27" i="42"/>
  <c r="O21" i="42"/>
  <c r="M22" i="42"/>
  <c r="K22" i="42"/>
  <c r="I21" i="42"/>
  <c r="I22" i="42"/>
  <c r="G22" i="42"/>
  <c r="E21" i="42"/>
  <c r="C21" i="42"/>
  <c r="C22" i="42"/>
  <c r="P20" i="42"/>
  <c r="P19" i="42"/>
  <c r="P18" i="42"/>
  <c r="P17" i="42"/>
  <c r="P16" i="42"/>
  <c r="P15" i="42"/>
  <c r="P14" i="42"/>
  <c r="P13" i="42"/>
  <c r="P12" i="42"/>
  <c r="P11" i="42"/>
  <c r="P10" i="42"/>
  <c r="P9" i="42"/>
  <c r="P8" i="42"/>
  <c r="P7" i="42"/>
  <c r="P6" i="42"/>
  <c r="P5" i="42"/>
  <c r="P4" i="42"/>
  <c r="O21" i="41"/>
  <c r="M21" i="41"/>
  <c r="M22" i="41"/>
  <c r="K21" i="41"/>
  <c r="K22" i="41"/>
  <c r="I21" i="41"/>
  <c r="I22" i="41"/>
  <c r="G21" i="41"/>
  <c r="G22" i="41"/>
  <c r="E21" i="41"/>
  <c r="C21" i="41"/>
  <c r="C22" i="41"/>
  <c r="P20" i="41"/>
  <c r="P19" i="41"/>
  <c r="P18" i="41"/>
  <c r="P17" i="41"/>
  <c r="P16" i="41"/>
  <c r="P15" i="41"/>
  <c r="P14" i="41"/>
  <c r="P13" i="41"/>
  <c r="P12" i="41"/>
  <c r="P11" i="41"/>
  <c r="P10" i="41"/>
  <c r="P9" i="41"/>
  <c r="P8" i="41"/>
  <c r="P7" i="41"/>
  <c r="P6" i="41"/>
  <c r="P5" i="41"/>
  <c r="P4" i="41"/>
  <c r="C21" i="40"/>
  <c r="O20" i="40"/>
  <c r="M20" i="40"/>
  <c r="M21" i="40"/>
  <c r="K20" i="40"/>
  <c r="I20" i="40"/>
  <c r="G20" i="40"/>
  <c r="G21" i="40"/>
  <c r="E20" i="40"/>
  <c r="C20" i="40"/>
  <c r="P19" i="40"/>
  <c r="P18" i="40"/>
  <c r="P17" i="40"/>
  <c r="P16" i="40"/>
  <c r="P15" i="40"/>
  <c r="P14" i="40"/>
  <c r="P13" i="40"/>
  <c r="P12" i="40"/>
  <c r="P11" i="40"/>
  <c r="P10" i="40"/>
  <c r="P9" i="40"/>
  <c r="P8" i="40"/>
  <c r="P7" i="40"/>
  <c r="P6" i="40"/>
  <c r="P5" i="40"/>
  <c r="P4" i="40"/>
  <c r="K21" i="40"/>
  <c r="O20" i="39"/>
  <c r="M20" i="39"/>
  <c r="M21" i="39"/>
  <c r="K20" i="39"/>
  <c r="K21" i="39"/>
  <c r="I20" i="39"/>
  <c r="P20" i="39"/>
  <c r="Q26" i="39"/>
  <c r="I21" i="39"/>
  <c r="G20" i="39"/>
  <c r="G21" i="39"/>
  <c r="E20" i="39"/>
  <c r="C20" i="39"/>
  <c r="C21" i="39"/>
  <c r="P19" i="39"/>
  <c r="P18" i="39"/>
  <c r="P17" i="39"/>
  <c r="P16" i="39"/>
  <c r="P15" i="39"/>
  <c r="P14" i="39"/>
  <c r="P13" i="39"/>
  <c r="P12" i="39"/>
  <c r="P11" i="39"/>
  <c r="P10" i="39"/>
  <c r="P9" i="39"/>
  <c r="P8" i="39"/>
  <c r="P7" i="39"/>
  <c r="P6" i="39"/>
  <c r="P5" i="39"/>
  <c r="P4" i="39"/>
  <c r="O20" i="38"/>
  <c r="M20" i="38"/>
  <c r="M21" i="38"/>
  <c r="K20" i="38"/>
  <c r="K21" i="38"/>
  <c r="I20" i="38"/>
  <c r="I21" i="38"/>
  <c r="G20" i="38"/>
  <c r="G21" i="38"/>
  <c r="E20" i="38"/>
  <c r="C20" i="38"/>
  <c r="C21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7" i="38"/>
  <c r="P6" i="38"/>
  <c r="P5" i="38"/>
  <c r="P4" i="38"/>
  <c r="E21" i="37"/>
  <c r="O20" i="37"/>
  <c r="M20" i="37"/>
  <c r="M21" i="37"/>
  <c r="K20" i="37"/>
  <c r="K21" i="37"/>
  <c r="I20" i="37"/>
  <c r="I21" i="37"/>
  <c r="G20" i="37"/>
  <c r="G21" i="37"/>
  <c r="E20" i="37"/>
  <c r="C20" i="37"/>
  <c r="C21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20" i="38"/>
  <c r="Q26" i="38"/>
  <c r="P20" i="37"/>
  <c r="Q26" i="37"/>
  <c r="M19" i="36"/>
  <c r="G19" i="36"/>
  <c r="E20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C19" i="36"/>
  <c r="E19" i="36"/>
  <c r="I19" i="36"/>
  <c r="K19" i="36"/>
  <c r="O19" i="36"/>
  <c r="C20" i="36"/>
  <c r="G20" i="36"/>
  <c r="I20" i="36"/>
  <c r="K20" i="36"/>
  <c r="M20" i="36"/>
  <c r="P8" i="35"/>
  <c r="P7" i="35"/>
  <c r="P6" i="35"/>
  <c r="P13" i="35"/>
  <c r="K19" i="35"/>
  <c r="K20" i="35"/>
  <c r="M19" i="35"/>
  <c r="M20" i="35"/>
  <c r="P10" i="35"/>
  <c r="P11" i="35"/>
  <c r="P16" i="35"/>
  <c r="P14" i="35"/>
  <c r="P12" i="35"/>
  <c r="O19" i="35"/>
  <c r="I19" i="35"/>
  <c r="I20" i="35"/>
  <c r="G19" i="35"/>
  <c r="G20" i="35"/>
  <c r="E19" i="35"/>
  <c r="E20" i="35"/>
  <c r="C19" i="35"/>
  <c r="C20" i="35"/>
  <c r="P18" i="35"/>
  <c r="P17" i="35"/>
  <c r="P15" i="35"/>
  <c r="P9" i="35"/>
  <c r="P5" i="35"/>
  <c r="P4" i="35"/>
  <c r="M22" i="34"/>
  <c r="K21" i="34"/>
  <c r="G21" i="34"/>
  <c r="G22" i="34"/>
  <c r="O21" i="34"/>
  <c r="M21" i="34"/>
  <c r="I21" i="34"/>
  <c r="I22" i="34"/>
  <c r="E21" i="34"/>
  <c r="E22" i="34"/>
  <c r="C21" i="34"/>
  <c r="C22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5" i="34"/>
  <c r="P4" i="34"/>
  <c r="P19" i="33"/>
  <c r="P20" i="33"/>
  <c r="P17" i="33"/>
  <c r="P18" i="33"/>
  <c r="O21" i="33"/>
  <c r="M21" i="33"/>
  <c r="M22" i="33"/>
  <c r="K21" i="33"/>
  <c r="K22" i="33"/>
  <c r="I21" i="33"/>
  <c r="I22" i="33"/>
  <c r="G21" i="33"/>
  <c r="E21" i="33"/>
  <c r="E22" i="33"/>
  <c r="C21" i="33"/>
  <c r="C22" i="33"/>
  <c r="P16" i="33"/>
  <c r="P15" i="33"/>
  <c r="P14" i="33"/>
  <c r="P13" i="33"/>
  <c r="P12" i="33"/>
  <c r="P11" i="33"/>
  <c r="P10" i="33"/>
  <c r="P9" i="33"/>
  <c r="P8" i="33"/>
  <c r="P7" i="33"/>
  <c r="P6" i="33"/>
  <c r="P5" i="33"/>
  <c r="P4" i="33"/>
  <c r="O20" i="32"/>
  <c r="M20" i="32"/>
  <c r="M21" i="32"/>
  <c r="K20" i="32"/>
  <c r="K21" i="32"/>
  <c r="I20" i="32"/>
  <c r="I21" i="32"/>
  <c r="G20" i="32"/>
  <c r="G21" i="32"/>
  <c r="E20" i="32"/>
  <c r="E21" i="32"/>
  <c r="C20" i="32"/>
  <c r="C21" i="32"/>
  <c r="P19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O19" i="31"/>
  <c r="M19" i="31"/>
  <c r="M20" i="31"/>
  <c r="K19" i="31"/>
  <c r="K20" i="31"/>
  <c r="I19" i="31"/>
  <c r="I20" i="31"/>
  <c r="G19" i="31"/>
  <c r="G20" i="31"/>
  <c r="E19" i="31"/>
  <c r="E20" i="31"/>
  <c r="C19" i="31"/>
  <c r="C20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O21" i="29"/>
  <c r="M21" i="29"/>
  <c r="M22" i="29"/>
  <c r="K21" i="29"/>
  <c r="K22" i="29"/>
  <c r="I21" i="29"/>
  <c r="I22" i="29"/>
  <c r="G21" i="29"/>
  <c r="G22" i="29"/>
  <c r="E21" i="29"/>
  <c r="E22" i="29"/>
  <c r="C21" i="29"/>
  <c r="C22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P7" i="29"/>
  <c r="P6" i="29"/>
  <c r="P5" i="29"/>
  <c r="P4" i="29"/>
  <c r="M21" i="28"/>
  <c r="K21" i="28"/>
  <c r="K22" i="28"/>
  <c r="I21" i="28"/>
  <c r="I22" i="28"/>
  <c r="G21" i="28"/>
  <c r="E21" i="28"/>
  <c r="E22" i="28"/>
  <c r="C21" i="28"/>
  <c r="C22" i="28"/>
  <c r="O21" i="28"/>
  <c r="M22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5" i="28"/>
  <c r="P4" i="28"/>
  <c r="P4" i="27"/>
  <c r="C22" i="27"/>
  <c r="O21" i="27"/>
  <c r="M21" i="27"/>
  <c r="M22" i="27"/>
  <c r="K21" i="27"/>
  <c r="K22" i="27"/>
  <c r="I21" i="27"/>
  <c r="I22" i="27"/>
  <c r="G21" i="27"/>
  <c r="E21" i="27"/>
  <c r="E22" i="27"/>
  <c r="C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K4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C21" i="25"/>
  <c r="E21" i="25"/>
  <c r="G21" i="25"/>
  <c r="I21" i="25"/>
  <c r="K21" i="25"/>
  <c r="M21" i="25"/>
  <c r="M22" i="25"/>
  <c r="O21" i="25"/>
  <c r="C22" i="25"/>
  <c r="G22" i="25"/>
  <c r="I22" i="25"/>
  <c r="K22" i="25"/>
  <c r="P13" i="23"/>
  <c r="P8" i="23"/>
  <c r="P7" i="23"/>
  <c r="P6" i="23"/>
  <c r="C22" i="23"/>
  <c r="E22" i="23"/>
  <c r="G22" i="23"/>
  <c r="G23" i="23"/>
  <c r="I22" i="23"/>
  <c r="K22" i="23"/>
  <c r="P4" i="23"/>
  <c r="P5" i="23"/>
  <c r="P9" i="23"/>
  <c r="P10" i="23"/>
  <c r="P11" i="23"/>
  <c r="P12" i="23"/>
  <c r="P14" i="23"/>
  <c r="P15" i="23"/>
  <c r="P16" i="23"/>
  <c r="P17" i="23"/>
  <c r="P18" i="23"/>
  <c r="P19" i="23"/>
  <c r="P20" i="23"/>
  <c r="P21" i="23"/>
  <c r="M22" i="23"/>
  <c r="O22" i="23"/>
  <c r="P22" i="23"/>
  <c r="Q22" i="23"/>
  <c r="C23" i="23"/>
  <c r="E23" i="23"/>
  <c r="I23" i="23"/>
  <c r="K23" i="23"/>
  <c r="M23" i="23"/>
  <c r="P17" i="21"/>
  <c r="P18" i="21"/>
  <c r="P19" i="21"/>
  <c r="P20" i="21"/>
  <c r="P21" i="21"/>
  <c r="C22" i="21"/>
  <c r="E22" i="21"/>
  <c r="G22" i="21"/>
  <c r="I22" i="21"/>
  <c r="K22" i="21"/>
  <c r="M22" i="21"/>
  <c r="O22" i="21"/>
  <c r="P22" i="21"/>
  <c r="Q22" i="21"/>
  <c r="C23" i="21"/>
  <c r="E23" i="21"/>
  <c r="G23" i="21"/>
  <c r="I23" i="21"/>
  <c r="K23" i="21"/>
  <c r="M23" i="21"/>
  <c r="P4" i="21"/>
  <c r="P5" i="21"/>
  <c r="P6" i="21"/>
  <c r="P7" i="21"/>
  <c r="P8" i="21"/>
  <c r="P9" i="21"/>
  <c r="P10" i="21"/>
  <c r="P11" i="21"/>
  <c r="P12" i="21"/>
  <c r="P13" i="21"/>
  <c r="P14" i="21"/>
  <c r="P15" i="21"/>
  <c r="M21" i="20"/>
  <c r="M20" i="20"/>
  <c r="K20" i="20"/>
  <c r="I20" i="20"/>
  <c r="G20" i="20"/>
  <c r="E20" i="20"/>
  <c r="C20" i="20"/>
  <c r="C21" i="20"/>
  <c r="C20" i="19"/>
  <c r="C21" i="19"/>
  <c r="E20" i="19"/>
  <c r="G20" i="19"/>
  <c r="I20" i="19"/>
  <c r="K20" i="19"/>
  <c r="M20" i="19"/>
  <c r="M20" i="18"/>
  <c r="K20" i="18"/>
  <c r="I20" i="18"/>
  <c r="G20" i="18"/>
  <c r="C20" i="18"/>
  <c r="E20" i="18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E21" i="20"/>
  <c r="G21" i="20"/>
  <c r="I21" i="20"/>
  <c r="K21" i="20"/>
  <c r="O20" i="20"/>
  <c r="P20" i="20"/>
  <c r="Q20" i="20"/>
  <c r="P11" i="19"/>
  <c r="O20" i="19"/>
  <c r="M21" i="19"/>
  <c r="K21" i="19"/>
  <c r="I21" i="19"/>
  <c r="G21" i="19"/>
  <c r="E21" i="19"/>
  <c r="P19" i="19"/>
  <c r="P18" i="19"/>
  <c r="P17" i="19"/>
  <c r="P16" i="19"/>
  <c r="P15" i="19"/>
  <c r="P14" i="19"/>
  <c r="P13" i="19"/>
  <c r="P12" i="19"/>
  <c r="P10" i="19"/>
  <c r="P9" i="19"/>
  <c r="P8" i="19"/>
  <c r="P7" i="19"/>
  <c r="P6" i="19"/>
  <c r="P5" i="19"/>
  <c r="P4" i="19"/>
  <c r="O20" i="18"/>
  <c r="M21" i="18"/>
  <c r="K21" i="18"/>
  <c r="I21" i="18"/>
  <c r="G21" i="18"/>
  <c r="E21" i="18"/>
  <c r="C21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10" i="17"/>
  <c r="O21" i="17"/>
  <c r="M21" i="17"/>
  <c r="M22" i="17"/>
  <c r="K21" i="17"/>
  <c r="K22" i="17"/>
  <c r="I21" i="17"/>
  <c r="I22" i="17"/>
  <c r="G21" i="17"/>
  <c r="G22" i="17"/>
  <c r="E21" i="17"/>
  <c r="E22" i="17"/>
  <c r="C21" i="17"/>
  <c r="C22" i="17"/>
  <c r="P19" i="17"/>
  <c r="P18" i="17"/>
  <c r="P17" i="17"/>
  <c r="P16" i="17"/>
  <c r="P15" i="17"/>
  <c r="P14" i="17"/>
  <c r="P13" i="17"/>
  <c r="P12" i="17"/>
  <c r="P11" i="17"/>
  <c r="P9" i="17"/>
  <c r="P8" i="17"/>
  <c r="P7" i="17"/>
  <c r="P6" i="17"/>
  <c r="P5" i="17"/>
  <c r="P4" i="17"/>
  <c r="K21" i="16"/>
  <c r="K22" i="16"/>
  <c r="P17" i="16"/>
  <c r="P17" i="15"/>
  <c r="O21" i="16"/>
  <c r="M21" i="16"/>
  <c r="M22" i="16"/>
  <c r="I21" i="16"/>
  <c r="I22" i="16"/>
  <c r="G21" i="16"/>
  <c r="G22" i="16"/>
  <c r="E21" i="16"/>
  <c r="E22" i="16"/>
  <c r="C21" i="16"/>
  <c r="C22" i="16"/>
  <c r="P19" i="16"/>
  <c r="P16" i="16"/>
  <c r="P15" i="16"/>
  <c r="P14" i="16"/>
  <c r="P13" i="16"/>
  <c r="P12" i="16"/>
  <c r="P11" i="16"/>
  <c r="P10" i="16"/>
  <c r="P9" i="16"/>
  <c r="P21" i="16"/>
  <c r="Q21" i="16"/>
  <c r="P8" i="16"/>
  <c r="P7" i="16"/>
  <c r="P6" i="16"/>
  <c r="P5" i="16"/>
  <c r="P4" i="16"/>
  <c r="P16" i="15"/>
  <c r="P15" i="15"/>
  <c r="O21" i="15"/>
  <c r="M21" i="15"/>
  <c r="M22" i="15"/>
  <c r="K21" i="15"/>
  <c r="K22" i="15"/>
  <c r="I21" i="15"/>
  <c r="I22" i="15"/>
  <c r="G21" i="15"/>
  <c r="G22" i="15"/>
  <c r="E21" i="15"/>
  <c r="E22" i="15"/>
  <c r="C21" i="15"/>
  <c r="C22" i="15"/>
  <c r="P20" i="15"/>
  <c r="P19" i="15"/>
  <c r="P18" i="15"/>
  <c r="P14" i="15"/>
  <c r="P13" i="15"/>
  <c r="P12" i="15"/>
  <c r="P11" i="15"/>
  <c r="P9" i="15"/>
  <c r="P8" i="15"/>
  <c r="P7" i="15"/>
  <c r="P5" i="15"/>
  <c r="P4" i="15"/>
  <c r="M21" i="13"/>
  <c r="K21" i="13"/>
  <c r="O20" i="13"/>
  <c r="M20" i="13"/>
  <c r="K20" i="13"/>
  <c r="I20" i="13"/>
  <c r="I21" i="13"/>
  <c r="G20" i="13"/>
  <c r="G21" i="13"/>
  <c r="E20" i="13"/>
  <c r="E21" i="13"/>
  <c r="C20" i="13"/>
  <c r="C21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M19" i="11"/>
  <c r="O18" i="11"/>
  <c r="M18" i="11"/>
  <c r="K18" i="11"/>
  <c r="P18" i="11"/>
  <c r="Q18" i="11"/>
  <c r="K19" i="11"/>
  <c r="I18" i="11"/>
  <c r="I19" i="11"/>
  <c r="G18" i="11"/>
  <c r="G19" i="11"/>
  <c r="E18" i="11"/>
  <c r="E19" i="11"/>
  <c r="C18" i="11"/>
  <c r="C19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O19" i="9"/>
  <c r="M19" i="9"/>
  <c r="M20" i="9"/>
  <c r="K19" i="9"/>
  <c r="K20" i="9"/>
  <c r="I19" i="9"/>
  <c r="I20" i="9"/>
  <c r="G19" i="9"/>
  <c r="G20" i="9"/>
  <c r="E19" i="9"/>
  <c r="C19" i="9"/>
  <c r="C20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E20" i="9"/>
  <c r="P16" i="8"/>
  <c r="O18" i="8"/>
  <c r="M18" i="8"/>
  <c r="M19" i="8"/>
  <c r="K18" i="8"/>
  <c r="K19" i="8"/>
  <c r="I18" i="8"/>
  <c r="I19" i="8"/>
  <c r="G18" i="8"/>
  <c r="G19" i="8"/>
  <c r="E18" i="8"/>
  <c r="E19" i="8"/>
  <c r="C18" i="8"/>
  <c r="C19" i="8"/>
  <c r="P17" i="8"/>
  <c r="P15" i="8"/>
  <c r="P14" i="8"/>
  <c r="P13" i="8"/>
  <c r="P12" i="8"/>
  <c r="P11" i="8"/>
  <c r="P10" i="8"/>
  <c r="P9" i="8"/>
  <c r="P8" i="8"/>
  <c r="P7" i="8"/>
  <c r="P6" i="8"/>
  <c r="P5" i="8"/>
  <c r="P4" i="8"/>
  <c r="P18" i="8"/>
  <c r="Q18" i="8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C22" i="5"/>
  <c r="E22" i="5"/>
  <c r="E23" i="5"/>
  <c r="G22" i="5"/>
  <c r="G23" i="5"/>
  <c r="I22" i="5"/>
  <c r="I23" i="5"/>
  <c r="K22" i="5"/>
  <c r="K23" i="5"/>
  <c r="M22" i="5"/>
  <c r="M23" i="5"/>
  <c r="O22" i="5"/>
  <c r="C23" i="5"/>
  <c r="P16" i="4"/>
  <c r="P17" i="4"/>
  <c r="O23" i="4"/>
  <c r="M23" i="4"/>
  <c r="M24" i="4"/>
  <c r="K23" i="4"/>
  <c r="K24" i="4"/>
  <c r="I23" i="4"/>
  <c r="I24" i="4"/>
  <c r="G23" i="4"/>
  <c r="G24" i="4"/>
  <c r="E23" i="4"/>
  <c r="E24" i="4"/>
  <c r="C23" i="4"/>
  <c r="C24" i="4"/>
  <c r="P22" i="4"/>
  <c r="P21" i="4"/>
  <c r="P20" i="4"/>
  <c r="P19" i="4"/>
  <c r="P18" i="4"/>
  <c r="P15" i="4"/>
  <c r="P14" i="4"/>
  <c r="P13" i="4"/>
  <c r="P12" i="4"/>
  <c r="P11" i="4"/>
  <c r="P10" i="4"/>
  <c r="P9" i="4"/>
  <c r="P8" i="4"/>
  <c r="P7" i="4"/>
  <c r="P23" i="4"/>
  <c r="Q23" i="4"/>
  <c r="P6" i="4"/>
  <c r="P5" i="4"/>
  <c r="P4" i="4"/>
  <c r="P22" i="5"/>
  <c r="Q22" i="5"/>
  <c r="P19" i="9"/>
  <c r="P20" i="9"/>
  <c r="P21" i="15"/>
  <c r="Q21" i="15"/>
  <c r="P20" i="13"/>
  <c r="Q20" i="13"/>
  <c r="P20" i="19"/>
  <c r="Q20" i="19"/>
  <c r="P20" i="18"/>
  <c r="Q20" i="18"/>
  <c r="P21" i="17"/>
  <c r="Q21" i="17"/>
  <c r="P21" i="25"/>
  <c r="Q21" i="25"/>
  <c r="E22" i="25"/>
  <c r="P21" i="29"/>
  <c r="Q21" i="29"/>
  <c r="P21" i="28"/>
  <c r="Q21" i="28"/>
  <c r="P21" i="27"/>
  <c r="Q21" i="27"/>
  <c r="G22" i="27"/>
  <c r="G22" i="28"/>
  <c r="P21" i="33"/>
  <c r="Q21" i="33"/>
  <c r="G22" i="33"/>
  <c r="P20" i="32"/>
  <c r="Q20" i="32"/>
  <c r="P19" i="31"/>
  <c r="Q19" i="31"/>
  <c r="P21" i="34"/>
  <c r="Q22" i="34"/>
  <c r="K22" i="34"/>
  <c r="P19" i="35"/>
  <c r="Q22" i="35"/>
  <c r="P19" i="36"/>
  <c r="Q21" i="36"/>
  <c r="I21" i="40"/>
  <c r="Q27" i="41"/>
  <c r="P20" i="40"/>
  <c r="Q26" i="40"/>
  <c r="P21" i="44"/>
  <c r="Q27" i="44"/>
  <c r="P21" i="43"/>
  <c r="Q27" i="43"/>
  <c r="K23" i="45"/>
  <c r="Q28" i="45"/>
  <c r="Q28" i="46"/>
  <c r="O23" i="48"/>
  <c r="Q22" i="48"/>
  <c r="P22" i="48"/>
  <c r="Q26" i="48"/>
  <c r="I23" i="48"/>
  <c r="P23" i="48"/>
  <c r="P22" i="51"/>
  <c r="Q29" i="51"/>
  <c r="P23" i="50"/>
  <c r="Q29" i="50"/>
  <c r="P23" i="49"/>
  <c r="Q29" i="49"/>
  <c r="P22" i="54"/>
  <c r="Q32" i="54"/>
  <c r="P23" i="54"/>
  <c r="P22" i="56" l="1"/>
  <c r="Q32" i="56" s="1"/>
</calcChain>
</file>

<file path=xl/sharedStrings.xml><?xml version="1.0" encoding="utf-8"?>
<sst xmlns="http://schemas.openxmlformats.org/spreadsheetml/2006/main" count="6015" uniqueCount="2365">
  <si>
    <t>Monday</t>
  </si>
  <si>
    <t>HRS</t>
  </si>
  <si>
    <t>Tuesday</t>
  </si>
  <si>
    <t>Wednesday</t>
  </si>
  <si>
    <t>Thursday</t>
  </si>
  <si>
    <t>Friday</t>
  </si>
  <si>
    <t>SAT</t>
  </si>
  <si>
    <t>SUN</t>
  </si>
  <si>
    <t>TTL HRS</t>
  </si>
  <si>
    <t>EVENTS</t>
  </si>
  <si>
    <t>6A - 3-5ppl David Howell 9a-1p</t>
  </si>
  <si>
    <t>6A - 3-5ppl David Howell 9a-1p / Catered brunch 6ppl Prez office 11am</t>
  </si>
  <si>
    <t xml:space="preserve">SHSM High school leaders visit 9:30a-12p Class 211 </t>
  </si>
  <si>
    <t>IBU's got Talent 11a-3p HUB</t>
  </si>
  <si>
    <t>Fran</t>
  </si>
  <si>
    <t>9a-5p</t>
  </si>
  <si>
    <t>9a-5</t>
  </si>
  <si>
    <t>OFF</t>
  </si>
  <si>
    <t>Aashima</t>
  </si>
  <si>
    <t>OFF Lieu owed</t>
  </si>
  <si>
    <t xml:space="preserve">NAHIM </t>
  </si>
  <si>
    <t>8:30a-10a event/ 10a-4:30 fran</t>
  </si>
  <si>
    <t>8:30a-10a event/ 10a-12p Prez event/ 12-4:30 w Aashima</t>
  </si>
  <si>
    <t>8a-10a event/ 10a-4 fran</t>
  </si>
  <si>
    <t>8:30a-4:30a event set-up, help and reset</t>
  </si>
  <si>
    <t>Pablo 2</t>
  </si>
  <si>
    <t>RO</t>
  </si>
  <si>
    <t>8a-3p INVENTORY</t>
  </si>
  <si>
    <r>
      <t xml:space="preserve">12p-7p f6 CC </t>
    </r>
    <r>
      <rPr>
        <b/>
        <sz val="11"/>
        <color theme="7"/>
        <rFont val="Aptos Narrow"/>
        <family val="2"/>
        <scheme val="minor"/>
      </rPr>
      <t>B@3:30</t>
    </r>
  </si>
  <si>
    <r>
      <t xml:space="preserve">8a-3pm f2 </t>
    </r>
    <r>
      <rPr>
        <b/>
        <sz val="11"/>
        <color theme="7"/>
        <rFont val="Aptos Narrow"/>
        <family val="2"/>
        <scheme val="minor"/>
      </rPr>
      <t>B@1:30</t>
    </r>
  </si>
  <si>
    <t>3p-7:30p f2/ closing</t>
  </si>
  <si>
    <t>6th Floor</t>
  </si>
  <si>
    <t>2nd Floor</t>
  </si>
  <si>
    <t>Ground</t>
  </si>
  <si>
    <r>
      <t>Kavya</t>
    </r>
    <r>
      <rPr>
        <b/>
        <sz val="11"/>
        <color theme="9"/>
        <rFont val="Aptos Narrow"/>
        <family val="2"/>
        <scheme val="minor"/>
      </rPr>
      <t xml:space="preserve"> C</t>
    </r>
  </si>
  <si>
    <t>7:45a-4p - F6 CC</t>
  </si>
  <si>
    <t>WFH CC 2p-3:30p</t>
  </si>
  <si>
    <r>
      <rPr>
        <sz val="11"/>
        <color rgb="FFFF0000"/>
        <rFont val="Aptos Narrow"/>
        <family val="2"/>
        <scheme val="minor"/>
      </rPr>
      <t>7:45a - 3p f6 CC</t>
    </r>
    <r>
      <rPr>
        <sz val="11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B@11:30</t>
    </r>
  </si>
  <si>
    <r>
      <rPr>
        <sz val="11"/>
        <rFont val="Aptos Narrow"/>
        <family val="2"/>
        <scheme val="minor"/>
      </rPr>
      <t xml:space="preserve">7:45a-4:15p - F6  </t>
    </r>
    <r>
      <rPr>
        <sz val="11"/>
        <color theme="7"/>
        <rFont val="Aptos Narrow"/>
        <family val="2"/>
        <scheme val="minor"/>
      </rPr>
      <t>B@12</t>
    </r>
  </si>
  <si>
    <t>CC 8am</t>
  </si>
  <si>
    <r>
      <rPr>
        <b/>
        <sz val="11"/>
        <color rgb="FFFF0000"/>
        <rFont val="Aptos Narrow"/>
        <family val="2"/>
        <scheme val="minor"/>
      </rPr>
      <t>Mickaela</t>
    </r>
    <r>
      <rPr>
        <b/>
        <sz val="11"/>
        <rFont val="Aptos Narrow"/>
        <family val="2"/>
        <scheme val="minor"/>
      </rPr>
      <t xml:space="preserve">  </t>
    </r>
    <r>
      <rPr>
        <b/>
        <sz val="11"/>
        <color theme="9"/>
        <rFont val="Aptos Narrow"/>
        <family val="2"/>
        <scheme val="minor"/>
      </rPr>
      <t>C</t>
    </r>
  </si>
  <si>
    <t>12p-4p f2</t>
  </si>
  <si>
    <r>
      <rPr>
        <b/>
        <sz val="11"/>
        <color rgb="FFFF0000"/>
        <rFont val="Aptos Narrow"/>
        <family val="2"/>
        <scheme val="minor"/>
      </rPr>
      <t>11:30a-6p GR CC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B@3</t>
    </r>
  </si>
  <si>
    <r>
      <t xml:space="preserve">1-1:30 GR/ </t>
    </r>
    <r>
      <rPr>
        <b/>
        <sz val="11"/>
        <rFont val="Aptos Narrow"/>
        <family val="2"/>
        <scheme val="minor"/>
      </rPr>
      <t>1:30-2 f2</t>
    </r>
    <r>
      <rPr>
        <b/>
        <sz val="11"/>
        <color rgb="FFFF0000"/>
        <rFont val="Aptos Narrow"/>
        <family val="2"/>
        <scheme val="minor"/>
      </rPr>
      <t>/ 2p-6p GR CC</t>
    </r>
  </si>
  <si>
    <r>
      <rPr>
        <sz val="11"/>
        <rFont val="Aptos Narrow"/>
        <family val="2"/>
        <scheme val="minor"/>
      </rPr>
      <t>1:30-2 f2</t>
    </r>
    <r>
      <rPr>
        <sz val="11"/>
        <color theme="9"/>
        <rFont val="Aptos Narrow"/>
        <family val="2"/>
        <scheme val="minor"/>
      </rPr>
      <t>/ 2p-6p GR</t>
    </r>
  </si>
  <si>
    <t>CC PM -7pm</t>
  </si>
  <si>
    <r>
      <t>Viviana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3</t>
    </r>
  </si>
  <si>
    <t>3:30p-7:30p f2/ closing</t>
  </si>
  <si>
    <r>
      <rPr>
        <b/>
        <sz val="11"/>
        <color theme="9"/>
        <rFont val="Aptos Narrow"/>
        <family val="2"/>
        <scheme val="minor"/>
      </rPr>
      <t>3p-3:30 GR</t>
    </r>
    <r>
      <rPr>
        <b/>
        <sz val="11"/>
        <rFont val="Aptos Narrow"/>
        <family val="2"/>
        <scheme val="minor"/>
      </rPr>
      <t>/ 3:30-7:30p f2/ closing</t>
    </r>
  </si>
  <si>
    <r>
      <rPr>
        <b/>
        <sz val="11"/>
        <rFont val="Aptos Narrow"/>
        <family val="2"/>
        <scheme val="minor"/>
      </rPr>
      <t>12p-12:30 GR/</t>
    </r>
    <r>
      <rPr>
        <b/>
        <sz val="11"/>
        <color rgb="FFFF0000"/>
        <rFont val="Aptos Narrow"/>
        <family val="2"/>
        <scheme val="minor"/>
      </rPr>
      <t xml:space="preserve"> 12:30-7p f6CC </t>
    </r>
    <r>
      <rPr>
        <b/>
        <sz val="11"/>
        <color theme="7"/>
        <rFont val="Aptos Narrow"/>
        <family val="2"/>
        <scheme val="minor"/>
      </rPr>
      <t>B@2:30</t>
    </r>
  </si>
  <si>
    <t>OPS AM 7:30am</t>
  </si>
  <si>
    <t>Anastasia 3</t>
  </si>
  <si>
    <r>
      <t xml:space="preserve">11a-7p f6CC </t>
    </r>
    <r>
      <rPr>
        <b/>
        <sz val="11"/>
        <color theme="7"/>
        <rFont val="Aptos Narrow"/>
        <family val="2"/>
        <scheme val="minor"/>
      </rPr>
      <t>B@2:30</t>
    </r>
  </si>
  <si>
    <t>8a-12p f6CC</t>
  </si>
  <si>
    <t>8a-4p f2</t>
  </si>
  <si>
    <t>OPS MID/ BRKS</t>
  </si>
  <si>
    <t>MEG 3</t>
  </si>
  <si>
    <t>8a-12p f6 CC</t>
  </si>
  <si>
    <t>OPS PM - finish 7:30/8</t>
  </si>
  <si>
    <t>Achal 2</t>
  </si>
  <si>
    <t>1p-6p GR</t>
  </si>
  <si>
    <r>
      <rPr>
        <b/>
        <sz val="11"/>
        <color theme="1"/>
        <rFont val="Aptos Narrow"/>
        <family val="2"/>
        <scheme val="minor"/>
      </rPr>
      <t>11a-11:30 f2/</t>
    </r>
    <r>
      <rPr>
        <b/>
        <sz val="11"/>
        <color rgb="FFFF0000"/>
        <rFont val="Aptos Narrow"/>
        <family val="2"/>
        <scheme val="minor"/>
      </rPr>
      <t xml:space="preserve"> 11:30-7p f6CC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</si>
  <si>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7:30 a - 2p GR </t>
    </r>
    <r>
      <rPr>
        <b/>
        <sz val="11"/>
        <color theme="7"/>
        <rFont val="Aptos Narrow"/>
        <family val="2"/>
        <scheme val="minor"/>
      </rPr>
      <t>B@12:30</t>
    </r>
  </si>
  <si>
    <t>PRIYANKA 2</t>
  </si>
  <si>
    <r>
      <t xml:space="preserve">7:30 a - 2p GR </t>
    </r>
    <r>
      <rPr>
        <b/>
        <sz val="11"/>
        <color theme="7"/>
        <rFont val="Aptos Narrow"/>
        <family val="2"/>
        <scheme val="minor"/>
      </rPr>
      <t>B@1</t>
    </r>
  </si>
  <si>
    <r>
      <t>Arfa</t>
    </r>
    <r>
      <rPr>
        <b/>
        <sz val="11"/>
        <color theme="9"/>
        <rFont val="Aptos Narrow"/>
        <family val="2"/>
        <scheme val="minor"/>
      </rPr>
      <t xml:space="preserve"> C</t>
    </r>
  </si>
  <si>
    <r>
      <t xml:space="preserve">8a-3p f6CC </t>
    </r>
    <r>
      <rPr>
        <sz val="11"/>
        <color theme="7"/>
        <rFont val="Aptos Narrow"/>
        <family val="2"/>
        <scheme val="minor"/>
      </rPr>
      <t>B@11:30</t>
    </r>
  </si>
  <si>
    <r>
      <t xml:space="preserve">8a-3p f6CC </t>
    </r>
    <r>
      <rPr>
        <b/>
        <sz val="11"/>
        <color theme="7"/>
        <rFont val="Aptos Narrow"/>
        <family val="2"/>
        <scheme val="minor"/>
      </rPr>
      <t>B@11:30</t>
    </r>
  </si>
  <si>
    <r>
      <t xml:space="preserve">8 a - 3 p - CC F6 </t>
    </r>
    <r>
      <rPr>
        <b/>
        <sz val="11"/>
        <color theme="7"/>
        <rFont val="Aptos Narrow"/>
        <family val="2"/>
        <scheme val="minor"/>
      </rPr>
      <t>B@12:30</t>
    </r>
  </si>
  <si>
    <r>
      <t xml:space="preserve">Taran </t>
    </r>
    <r>
      <rPr>
        <b/>
        <sz val="11"/>
        <color theme="9"/>
        <rFont val="Aptos Narrow"/>
        <family val="2"/>
        <scheme val="minor"/>
      </rPr>
      <t>C</t>
    </r>
  </si>
  <si>
    <t>8a-12p f2</t>
  </si>
  <si>
    <t>8a-3pm  INVENTORY</t>
  </si>
  <si>
    <r>
      <t xml:space="preserve">8a-3pm f2 </t>
    </r>
    <r>
      <rPr>
        <sz val="11"/>
        <color theme="7"/>
        <rFont val="Aptos Narrow"/>
        <family val="2"/>
        <scheme val="minor"/>
      </rPr>
      <t>B@1:30</t>
    </r>
  </si>
  <si>
    <r>
      <t xml:space="preserve">8a-3:30pm f2 </t>
    </r>
    <r>
      <rPr>
        <sz val="11"/>
        <color theme="7"/>
        <rFont val="Aptos Narrow"/>
        <family val="2"/>
        <scheme val="minor"/>
      </rPr>
      <t>B@1:30</t>
    </r>
  </si>
  <si>
    <t>GF ELEV PEAK</t>
  </si>
  <si>
    <t>8a-8:45 / 11:15-12:15 / 2:30-3:30p</t>
  </si>
  <si>
    <r>
      <t>Sagar</t>
    </r>
    <r>
      <rPr>
        <b/>
        <sz val="11"/>
        <color theme="9"/>
        <rFont val="Aptos Narrow"/>
        <family val="2"/>
        <scheme val="minor"/>
      </rPr>
      <t xml:space="preserve"> C</t>
    </r>
  </si>
  <si>
    <t>7:30 a - 11:30a - GR</t>
  </si>
  <si>
    <r>
      <t xml:space="preserve">1-1:30 GR/ </t>
    </r>
    <r>
      <rPr>
        <sz val="11"/>
        <color theme="1"/>
        <rFont val="Aptos Narrow"/>
        <family val="2"/>
        <scheme val="minor"/>
      </rPr>
      <t>1:30-2 f2</t>
    </r>
    <r>
      <rPr>
        <sz val="11"/>
        <color theme="9"/>
        <rFont val="Aptos Narrow"/>
        <family val="2"/>
        <scheme val="minor"/>
      </rPr>
      <t>/ 2p-6p GR</t>
    </r>
  </si>
  <si>
    <r>
      <t xml:space="preserve">7:30 a - 6 p - GR </t>
    </r>
    <r>
      <rPr>
        <b/>
        <sz val="11"/>
        <color theme="7"/>
        <rFont val="Aptos Narrow"/>
        <family val="2"/>
        <scheme val="minor"/>
      </rPr>
      <t>B@12</t>
    </r>
  </si>
  <si>
    <t>Itohan 3</t>
  </si>
  <si>
    <t>3:30p-7p Organize storages</t>
  </si>
  <si>
    <r>
      <t xml:space="preserve">8a-3:30pm f2 </t>
    </r>
    <r>
      <rPr>
        <b/>
        <sz val="11"/>
        <color theme="7"/>
        <rFont val="Aptos Narrow"/>
        <family val="2"/>
        <scheme val="minor"/>
      </rPr>
      <t>B@11</t>
    </r>
  </si>
  <si>
    <r>
      <t xml:space="preserve">11a-7p f6CC </t>
    </r>
    <r>
      <rPr>
        <b/>
        <sz val="11"/>
        <color theme="7"/>
        <rFont val="Aptos Narrow"/>
        <family val="2"/>
        <scheme val="minor"/>
      </rPr>
      <t>B@2</t>
    </r>
  </si>
  <si>
    <t>Arnob 2</t>
  </si>
  <si>
    <r>
      <rPr>
        <b/>
        <sz val="11"/>
        <color rgb="FFFF0000"/>
        <rFont val="Aptos Narrow"/>
        <family val="2"/>
        <scheme val="minor"/>
      </rPr>
      <t>8a-6p TR CCf6</t>
    </r>
    <r>
      <rPr>
        <b/>
        <sz val="11"/>
        <color theme="7"/>
        <rFont val="Aptos Narrow"/>
        <family val="2"/>
        <scheme val="minor"/>
      </rPr>
      <t xml:space="preserve"> B@3:30</t>
    </r>
  </si>
  <si>
    <t>TR 8a-1p INV w Pablo</t>
  </si>
  <si>
    <t>Intern Chidera 1</t>
  </si>
  <si>
    <t>4:30p-7:30p TR w Viviana</t>
  </si>
  <si>
    <t>8a-11a TR w Nadira</t>
  </si>
  <si>
    <t>8a-11:30a TR w Nadira</t>
  </si>
  <si>
    <t>8a-2p Tr w Pablo</t>
  </si>
  <si>
    <t>TBD</t>
  </si>
  <si>
    <t>Intern Heena 1</t>
  </si>
  <si>
    <t>8a-4p TR w Nadira</t>
  </si>
  <si>
    <t>Total PT DAILY HOURS</t>
  </si>
  <si>
    <t>Shifts  Will Vary based on class schedule, business demand, Availability &amp; RO's</t>
  </si>
  <si>
    <t>AVAILABILITIES</t>
  </si>
  <si>
    <t>7-week Internship Up-to 15 hrs/ wk</t>
  </si>
  <si>
    <t>Blank = Anytime/ all day</t>
  </si>
  <si>
    <t xml:space="preserve"> wk 1&amp;2</t>
  </si>
  <si>
    <t>wk 3&amp;4</t>
  </si>
  <si>
    <t xml:space="preserve">wk 5 </t>
  </si>
  <si>
    <t>wk 6&amp;7</t>
  </si>
  <si>
    <t>Until 12p</t>
  </si>
  <si>
    <t>IBU Ops</t>
  </si>
  <si>
    <t>Desk</t>
  </si>
  <si>
    <t>Call Centre</t>
  </si>
  <si>
    <t>Management</t>
  </si>
  <si>
    <t>UNTIL 3pm</t>
  </si>
  <si>
    <t xml:space="preserve"> </t>
  </si>
  <si>
    <t>After 3:30pm</t>
  </si>
  <si>
    <t>Fast Track internship 5-weeks Up-to 21-Hours per week</t>
  </si>
  <si>
    <t>12-3p</t>
  </si>
  <si>
    <t>first 30 hours Intro w elevator + support open/CL</t>
  </si>
  <si>
    <t>after 12 - eod</t>
  </si>
  <si>
    <t>2nd 30 hours DESK</t>
  </si>
  <si>
    <t>Before 12 and after 3:30</t>
  </si>
  <si>
    <t>15 hours Call Centre</t>
  </si>
  <si>
    <t>30 hours Management</t>
  </si>
  <si>
    <t>Ops Team May+June Bdays/ farewells 3pm</t>
  </si>
  <si>
    <t>210 classroom - faculty training (10am- 12pm)</t>
  </si>
  <si>
    <t>CONVOCATION X2 @K.H.</t>
  </si>
  <si>
    <t>10a-4pm offsite</t>
  </si>
  <si>
    <t>10a-7:30p</t>
  </si>
  <si>
    <t>10a-4:30p</t>
  </si>
  <si>
    <t>8a-9p</t>
  </si>
  <si>
    <t>10a-10p event  Lieu accrued</t>
  </si>
  <si>
    <t>9a-5pm LIEU ACCRUED</t>
  </si>
  <si>
    <t>9a-4p</t>
  </si>
  <si>
    <t>7a-8p</t>
  </si>
  <si>
    <t>9a-9p</t>
  </si>
  <si>
    <t>MINUS1.5 hrs owed to us</t>
  </si>
  <si>
    <r>
      <rPr>
        <b/>
        <sz val="11"/>
        <color theme="8"/>
        <rFont val="Aptos Narrow"/>
        <family val="2"/>
        <scheme val="minor"/>
      </rPr>
      <t xml:space="preserve">12p-3p event set-up/ </t>
    </r>
    <r>
      <rPr>
        <b/>
        <sz val="11"/>
        <rFont val="Aptos Narrow"/>
        <family val="2"/>
        <scheme val="minor"/>
      </rPr>
      <t>3-3:30 f2</t>
    </r>
  </si>
  <si>
    <t>9a-2p event set-up</t>
  </si>
  <si>
    <t>8a-8pm event 1 hr brk</t>
  </si>
  <si>
    <t>8a-7p EVENT (1hr Brk)</t>
  </si>
  <si>
    <r>
      <t xml:space="preserve">8a-3:30p f6 CC </t>
    </r>
    <r>
      <rPr>
        <b/>
        <sz val="11"/>
        <color theme="7"/>
        <rFont val="Aptos Narrow"/>
        <family val="2"/>
        <scheme val="minor"/>
      </rPr>
      <t>B@11:30</t>
    </r>
  </si>
  <si>
    <r>
      <t xml:space="preserve">8a-3p f2 </t>
    </r>
    <r>
      <rPr>
        <sz val="11"/>
        <color theme="7"/>
        <rFont val="Aptos Narrow"/>
        <family val="2"/>
        <scheme val="minor"/>
      </rPr>
      <t>B@10:30a</t>
    </r>
  </si>
  <si>
    <r>
      <t xml:space="preserve">12:30p-7p f6CC </t>
    </r>
    <r>
      <rPr>
        <b/>
        <sz val="11"/>
        <color theme="7"/>
        <rFont val="Aptos Narrow"/>
        <family val="2"/>
        <scheme val="minor"/>
      </rPr>
      <t>B@4</t>
    </r>
  </si>
  <si>
    <t>9a-3p</t>
  </si>
  <si>
    <t>3p-7:30p f2/CL</t>
  </si>
  <si>
    <r>
      <t xml:space="preserve">8a-4p f6 CC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</si>
  <si>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8a-3p f2 </t>
    </r>
    <r>
      <rPr>
        <b/>
        <sz val="11"/>
        <color theme="7"/>
        <rFont val="Aptos Narrow"/>
        <family val="2"/>
        <scheme val="minor"/>
      </rPr>
      <t>B@1</t>
    </r>
  </si>
  <si>
    <r>
      <t xml:space="preserve">8a-5:30p f6CC </t>
    </r>
    <r>
      <rPr>
        <sz val="11"/>
        <color theme="7"/>
        <rFont val="Aptos Narrow"/>
        <family val="2"/>
        <scheme val="minor"/>
      </rPr>
      <t>B@1</t>
    </r>
  </si>
  <si>
    <r>
      <t xml:space="preserve">10a-11:30a f6/ 11:30-12 f2/ 12-12:30 GR/ 12:30-7p f6 </t>
    </r>
    <r>
      <rPr>
        <b/>
        <sz val="11"/>
        <color theme="7"/>
        <rFont val="Aptos Narrow"/>
        <family val="2"/>
        <scheme val="minor"/>
      </rPr>
      <t>B@2:30</t>
    </r>
  </si>
  <si>
    <t>11:30a-3:30p f6</t>
  </si>
  <si>
    <r>
      <rPr>
        <b/>
        <sz val="11"/>
        <rFont val="Aptos Narrow"/>
        <family val="2"/>
        <scheme val="minor"/>
      </rPr>
      <t>9:30a-11:30a GR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B@11:30/</t>
    </r>
    <r>
      <rPr>
        <b/>
        <sz val="11"/>
        <color rgb="FFFF0000"/>
        <rFont val="Aptos Narrow"/>
        <family val="2"/>
        <scheme val="minor"/>
      </rPr>
      <t xml:space="preserve"> 12-6 GR CC</t>
    </r>
  </si>
  <si>
    <r>
      <t xml:space="preserve">8a-3p f6 CC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</si>
  <si>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12-12:30 GR/ 12:30-1 f2/ 1-1:30 f6/ </t>
    </r>
    <r>
      <rPr>
        <b/>
        <sz val="11"/>
        <color theme="7"/>
        <rFont val="Aptos Narrow"/>
        <family val="2"/>
        <scheme val="minor"/>
      </rPr>
      <t>B@1:30</t>
    </r>
    <r>
      <rPr>
        <b/>
        <sz val="11"/>
        <color theme="8"/>
        <rFont val="Aptos Narrow"/>
        <family val="2"/>
        <scheme val="minor"/>
      </rPr>
      <t xml:space="preserve">/ </t>
    </r>
    <r>
      <rPr>
        <b/>
        <sz val="11"/>
        <color theme="1"/>
        <rFont val="Aptos Narrow"/>
        <family val="2"/>
        <scheme val="minor"/>
      </rPr>
      <t>2-6 GR</t>
    </r>
  </si>
  <si>
    <t>9a-9pm (1hr break)</t>
  </si>
  <si>
    <t>3:30p-7:30p f2/CL</t>
  </si>
  <si>
    <r>
      <t xml:space="preserve">9-7p f6CC </t>
    </r>
    <r>
      <rPr>
        <b/>
        <sz val="11"/>
        <color theme="7"/>
        <rFont val="Aptos Narrow"/>
        <family val="2"/>
        <scheme val="minor"/>
      </rPr>
      <t>B@12:30</t>
    </r>
  </si>
  <si>
    <t>7a-7p EVENT lead on load and drop off (1hr brk)</t>
  </si>
  <si>
    <t>4p-10pm Lead on move &amp; offload</t>
  </si>
  <si>
    <t>8a-1p f6CC</t>
  </si>
  <si>
    <r>
      <rPr>
        <b/>
        <sz val="11"/>
        <rFont val="Aptos Narrow"/>
        <family val="2"/>
        <scheme val="minor"/>
      </rPr>
      <t>10a-11 f2</t>
    </r>
    <r>
      <rPr>
        <b/>
        <sz val="11"/>
        <color theme="8"/>
        <rFont val="Aptos Narrow"/>
        <family val="2"/>
        <scheme val="minor"/>
      </rPr>
      <t>/11a-12pm GR/ ELEV</t>
    </r>
  </si>
  <si>
    <r>
      <t xml:space="preserve">8a-4p f2 </t>
    </r>
    <r>
      <rPr>
        <b/>
        <sz val="11"/>
        <color theme="7"/>
        <rFont val="Aptos Narrow"/>
        <family val="2"/>
        <scheme val="minor"/>
      </rPr>
      <t>B@12:30</t>
    </r>
  </si>
  <si>
    <t>8a-3:30p f2 CC</t>
  </si>
  <si>
    <r>
      <t xml:space="preserve">11a-7p f6CC </t>
    </r>
    <r>
      <rPr>
        <b/>
        <sz val="11"/>
        <color theme="7"/>
        <rFont val="Aptos Narrow"/>
        <family val="2"/>
        <scheme val="minor"/>
      </rPr>
      <t>B@2:15</t>
    </r>
  </si>
  <si>
    <t>8a-4p f6 CC</t>
  </si>
  <si>
    <t>8a-12p f6CC /2p-6p GR CC</t>
  </si>
  <si>
    <r>
      <t>11a-12p GR/ 12-1p f6/ 1-7:30pm f2/ CL</t>
    </r>
    <r>
      <rPr>
        <b/>
        <sz val="11"/>
        <color theme="7"/>
        <rFont val="Aptos Narrow"/>
        <family val="2"/>
        <scheme val="minor"/>
      </rPr>
      <t xml:space="preserve"> B@2:30</t>
    </r>
  </si>
  <si>
    <r>
      <t>1:30-2 f2 /</t>
    </r>
    <r>
      <rPr>
        <b/>
        <sz val="11"/>
        <color rgb="FFFF0000"/>
        <rFont val="Aptos Narrow"/>
        <family val="2"/>
        <scheme val="minor"/>
      </rPr>
      <t>2p-3:30f6 CC</t>
    </r>
    <r>
      <rPr>
        <b/>
        <sz val="11"/>
        <rFont val="Aptos Narrow"/>
        <family val="2"/>
        <scheme val="minor"/>
      </rPr>
      <t xml:space="preserve"> / 3:30-6p GR</t>
    </r>
  </si>
  <si>
    <r>
      <t xml:space="preserve">7:30a-2pm GR </t>
    </r>
    <r>
      <rPr>
        <b/>
        <sz val="11"/>
        <color theme="7"/>
        <rFont val="Aptos Narrow"/>
        <family val="2"/>
        <scheme val="minor"/>
      </rPr>
      <t>B@10</t>
    </r>
  </si>
  <si>
    <r>
      <t xml:space="preserve">7:30a-2pm GR </t>
    </r>
    <r>
      <rPr>
        <b/>
        <sz val="11"/>
        <color theme="7"/>
        <rFont val="Aptos Narrow"/>
        <family val="2"/>
        <scheme val="minor"/>
      </rPr>
      <t>B@11</t>
    </r>
  </si>
  <si>
    <r>
      <t xml:space="preserve">7:30a-2pm GR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</si>
  <si>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7:30a-2pm GR </t>
    </r>
    <r>
      <rPr>
        <b/>
        <sz val="11"/>
        <color theme="7"/>
        <rFont val="Aptos Narrow"/>
        <family val="2"/>
        <scheme val="minor"/>
      </rPr>
      <t>B@12:30</t>
    </r>
  </si>
  <si>
    <t>8a-4 f2</t>
  </si>
  <si>
    <r>
      <t xml:space="preserve">11a-7p f6CC </t>
    </r>
    <r>
      <rPr>
        <b/>
        <sz val="11"/>
        <color theme="7"/>
        <rFont val="Aptos Narrow"/>
        <family val="2"/>
        <scheme val="minor"/>
      </rPr>
      <t>B@3:30</t>
    </r>
  </si>
  <si>
    <t>1p-6p GR CC</t>
  </si>
  <si>
    <r>
      <t xml:space="preserve">8a-3p f2 </t>
    </r>
    <r>
      <rPr>
        <b/>
        <sz val="11"/>
        <color theme="7"/>
        <rFont val="Aptos Narrow"/>
        <family val="2"/>
        <scheme val="minor"/>
      </rPr>
      <t>B@1:30</t>
    </r>
  </si>
  <si>
    <t>10a-10:30 GR/ 10:30-2p event set-up</t>
  </si>
  <si>
    <t>7a-7p EVENT (1hr Brk)</t>
  </si>
  <si>
    <t xml:space="preserve">9a-7:30p EVENT </t>
  </si>
  <si>
    <t>7:30a-10a GR</t>
  </si>
  <si>
    <t>9a-8p EVENT (1 HR BRK)</t>
  </si>
  <si>
    <t xml:space="preserve">9a-8p EVENT </t>
  </si>
  <si>
    <t>3:30p-7p f6CC</t>
  </si>
  <si>
    <t>1:30p-6p event set-up</t>
  </si>
  <si>
    <t xml:space="preserve">10a-10p EVENT </t>
  </si>
  <si>
    <t>1:30-3p event set-up</t>
  </si>
  <si>
    <t>9a-8p EVENT(1 HR break)</t>
  </si>
  <si>
    <t>9a-2pm  EVENT</t>
  </si>
  <si>
    <r>
      <t>7:30a-3:30p GR</t>
    </r>
    <r>
      <rPr>
        <b/>
        <sz val="11"/>
        <color theme="7"/>
        <rFont val="Aptos Narrow"/>
        <family val="2"/>
        <scheme val="minor"/>
      </rPr>
      <t xml:space="preserve"> </t>
    </r>
  </si>
  <si>
    <t>Intern- Levi 7</t>
  </si>
  <si>
    <t>1p-6pm GR</t>
  </si>
  <si>
    <t>12p-5p w fran</t>
  </si>
  <si>
    <t>Intern - Himanshu 7</t>
  </si>
  <si>
    <t>8a-8p EVENT</t>
  </si>
  <si>
    <t>1-10pm Event</t>
  </si>
  <si>
    <t>MONDAY</t>
  </si>
  <si>
    <t>TUESDAY</t>
  </si>
  <si>
    <t>WEDNESDAY</t>
  </si>
  <si>
    <t>THURSDAY</t>
  </si>
  <si>
    <t>FRIDAY</t>
  </si>
  <si>
    <t>SATURDAY</t>
  </si>
  <si>
    <t>Lawrence +storeage move to 80 BL -6p-6a</t>
  </si>
  <si>
    <t>set-up 80 Bloor</t>
  </si>
  <si>
    <t xml:space="preserve">SLT Retreat </t>
  </si>
  <si>
    <t xml:space="preserve">SLT Retreat    9am-5pm @80 Bloor           //                           Network with the best with Jaipaul Massey-Singh 1pm- 2:30pm @ Ground </t>
  </si>
  <si>
    <t>2p-3a</t>
  </si>
  <si>
    <t>12p-7:30p</t>
  </si>
  <si>
    <t>9a-4 wfh</t>
  </si>
  <si>
    <t>9a-8p</t>
  </si>
  <si>
    <t>9:45a-4:15p</t>
  </si>
  <si>
    <t>9a-4p (1hr owed)</t>
  </si>
  <si>
    <t>9a-4p (1 hr owed)</t>
  </si>
  <si>
    <t>9a-4 (1 hr owed)</t>
  </si>
  <si>
    <t>9a-5 wfh</t>
  </si>
  <si>
    <t>set-up 80 Bloor 8a-4:30p</t>
  </si>
  <si>
    <t>6:45a-5:45p 80 Bloor</t>
  </si>
  <si>
    <t>7:30a-6p 80-bloor</t>
  </si>
  <si>
    <t>Next wk 1.5hrs</t>
  </si>
  <si>
    <t>Pablo</t>
  </si>
  <si>
    <t>CC WFH 2p-3:30p</t>
  </si>
  <si>
    <t>set-up 80 Bloor 8a-1p</t>
  </si>
  <si>
    <t xml:space="preserve">7a-9a/ 11a-7:30 @80bloor </t>
  </si>
  <si>
    <t xml:space="preserve">1p-6p @ 80 Bloor </t>
  </si>
  <si>
    <t>7:45a-12:45p</t>
  </si>
  <si>
    <r>
      <t xml:space="preserve">8a-5p f6 CC </t>
    </r>
    <r>
      <rPr>
        <b/>
        <sz val="11"/>
        <color theme="7"/>
        <rFont val="Aptos Narrow"/>
        <family val="2"/>
        <scheme val="minor"/>
      </rPr>
      <t>B@12:30</t>
    </r>
  </si>
  <si>
    <r>
      <t xml:space="preserve">8a-3p f6 CC </t>
    </r>
    <r>
      <rPr>
        <sz val="11"/>
        <color theme="7"/>
        <rFont val="Aptos Narrow"/>
        <family val="2"/>
        <scheme val="minor"/>
      </rPr>
      <t>B@12</t>
    </r>
  </si>
  <si>
    <r>
      <t xml:space="preserve">8a-3p f6 CC </t>
    </r>
    <r>
      <rPr>
        <b/>
        <sz val="11"/>
        <color theme="7"/>
        <rFont val="Aptos Narrow"/>
        <family val="2"/>
        <scheme val="minor"/>
      </rPr>
      <t>B@1</t>
    </r>
  </si>
  <si>
    <r>
      <t>8a-4p f6CC</t>
    </r>
    <r>
      <rPr>
        <b/>
        <sz val="11"/>
        <color theme="7"/>
        <rFont val="Aptos Narrow"/>
        <family val="2"/>
        <scheme val="minor"/>
      </rPr>
      <t xml:space="preserve"> B@11</t>
    </r>
  </si>
  <si>
    <r>
      <t xml:space="preserve">12p-6p GR CC </t>
    </r>
    <r>
      <rPr>
        <b/>
        <sz val="11"/>
        <color theme="7"/>
        <rFont val="Aptos Narrow"/>
        <family val="2"/>
        <scheme val="minor"/>
      </rPr>
      <t>B@2</t>
    </r>
  </si>
  <si>
    <t>9a-1:30p f2 CC</t>
  </si>
  <si>
    <r>
      <t xml:space="preserve">11:30a-1:30p f6 CC </t>
    </r>
    <r>
      <rPr>
        <b/>
        <sz val="11"/>
        <color theme="7"/>
        <rFont val="Aptos Narrow"/>
        <family val="2"/>
        <scheme val="minor"/>
      </rPr>
      <t>B@1:30</t>
    </r>
    <r>
      <rPr>
        <sz val="11"/>
        <color rgb="FFFF0000"/>
        <rFont val="Aptos Narrow"/>
        <family val="2"/>
        <scheme val="minor"/>
      </rPr>
      <t xml:space="preserve"> / 2-6 GR CC</t>
    </r>
  </si>
  <si>
    <t xml:space="preserve">8a-3pf6CC tentatively </t>
  </si>
  <si>
    <r>
      <t>Viviana</t>
    </r>
    <r>
      <rPr>
        <b/>
        <sz val="11"/>
        <color theme="9"/>
        <rFont val="Aptos Narrow"/>
        <family val="2"/>
        <scheme val="minor"/>
      </rPr>
      <t xml:space="preserve"> </t>
    </r>
  </si>
  <si>
    <t xml:space="preserve">Anastasia </t>
  </si>
  <si>
    <r>
      <rPr>
        <b/>
        <sz val="11"/>
        <color theme="1"/>
        <rFont val="Aptos Narrow"/>
        <family val="2"/>
        <scheme val="minor"/>
      </rPr>
      <t>8a-6:30p f2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B@1:30</t>
    </r>
  </si>
  <si>
    <t>8:30a-12p f6CC</t>
  </si>
  <si>
    <t>12p-3p f2</t>
  </si>
  <si>
    <t>11a-7p f6 CC B@2</t>
  </si>
  <si>
    <t>MEG</t>
  </si>
  <si>
    <t>Achal</t>
  </si>
  <si>
    <r>
      <rPr>
        <b/>
        <sz val="11"/>
        <color theme="1"/>
        <rFont val="Aptos Narrow"/>
        <family val="2"/>
        <scheme val="minor"/>
      </rPr>
      <t>1:30-2 f2/</t>
    </r>
    <r>
      <rPr>
        <b/>
        <sz val="11"/>
        <color rgb="FFFF0000"/>
        <rFont val="Aptos Narrow"/>
        <family val="2"/>
        <scheme val="minor"/>
      </rPr>
      <t xml:space="preserve">2p-6p GRCC/ </t>
    </r>
    <r>
      <rPr>
        <b/>
        <sz val="11"/>
        <color theme="7"/>
        <rFont val="Aptos Narrow"/>
        <family val="2"/>
        <scheme val="minor"/>
      </rPr>
      <t xml:space="preserve">B@6 </t>
    </r>
    <r>
      <rPr>
        <b/>
        <sz val="11"/>
        <rFont val="Aptos Narrow"/>
        <family val="2"/>
        <scheme val="minor"/>
      </rPr>
      <t>/ 6:30p-7:30 f2/ closing</t>
    </r>
  </si>
  <si>
    <t>set-up 80 Bloor 8a-4p</t>
  </si>
  <si>
    <t>11a-11:30 GR / 11:30a-3p f6CC</t>
  </si>
  <si>
    <t>12-12:30 GR/ 12:30-7:30p f2/closing</t>
  </si>
  <si>
    <t>PRIYANKA</t>
  </si>
  <si>
    <r>
      <rPr>
        <b/>
        <sz val="11"/>
        <color theme="1"/>
        <rFont val="Aptos Narrow"/>
        <family val="2"/>
        <scheme val="minor"/>
      </rPr>
      <t>7:30a-2p (GR)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B@11</t>
    </r>
  </si>
  <si>
    <r>
      <t xml:space="preserve">7:30a-2p (GR)  </t>
    </r>
    <r>
      <rPr>
        <b/>
        <sz val="11"/>
        <color theme="7"/>
        <rFont val="Aptos Narrow"/>
        <family val="2"/>
        <scheme val="minor"/>
      </rPr>
      <t>B@12</t>
    </r>
  </si>
  <si>
    <r>
      <rPr>
        <b/>
        <sz val="11"/>
        <color theme="1"/>
        <rFont val="Aptos Narrow"/>
        <family val="2"/>
        <scheme val="minor"/>
      </rPr>
      <t xml:space="preserve">7:30a-2p (GR) </t>
    </r>
    <r>
      <rPr>
        <b/>
        <sz val="11"/>
        <color theme="7"/>
        <rFont val="Aptos Narrow"/>
        <family val="2"/>
        <scheme val="minor"/>
      </rPr>
      <t>B@11</t>
    </r>
  </si>
  <si>
    <t>Arfa</t>
  </si>
  <si>
    <r>
      <rPr>
        <b/>
        <sz val="11"/>
        <color theme="1"/>
        <rFont val="Aptos Narrow"/>
        <family val="2"/>
        <scheme val="minor"/>
      </rPr>
      <t>11a-11:30 GR/</t>
    </r>
    <r>
      <rPr>
        <b/>
        <sz val="11"/>
        <color rgb="FFFF0000"/>
        <rFont val="Aptos Narrow"/>
        <family val="2"/>
        <scheme val="minor"/>
      </rPr>
      <t xml:space="preserve"> 11:30-7p f6CC </t>
    </r>
    <r>
      <rPr>
        <b/>
        <sz val="11"/>
        <color theme="7"/>
        <rFont val="Aptos Narrow"/>
        <family val="2"/>
        <scheme val="minor"/>
      </rPr>
      <t>B@3</t>
    </r>
  </si>
  <si>
    <t>3p-7p f6CC</t>
  </si>
  <si>
    <t xml:space="preserve">1-7:30pm f6 CC tentative </t>
  </si>
  <si>
    <r>
      <t>1:30p-7p f6CC</t>
    </r>
    <r>
      <rPr>
        <b/>
        <sz val="11"/>
        <color theme="7"/>
        <rFont val="Aptos Narrow"/>
        <family val="2"/>
        <scheme val="minor"/>
      </rPr>
      <t xml:space="preserve"> B@3:30</t>
    </r>
  </si>
  <si>
    <t>4-7p f6CC</t>
  </si>
  <si>
    <t xml:space="preserve">8a-2:30 f6CC </t>
  </si>
  <si>
    <r>
      <t>8a-3p f2</t>
    </r>
    <r>
      <rPr>
        <b/>
        <sz val="11"/>
        <color theme="7"/>
        <rFont val="Aptos Narrow"/>
        <family val="2"/>
        <scheme val="minor"/>
      </rPr>
      <t xml:space="preserve"> B@12</t>
    </r>
  </si>
  <si>
    <r>
      <t>7:30a-12 f2</t>
    </r>
    <r>
      <rPr>
        <b/>
        <sz val="11"/>
        <color theme="7"/>
        <rFont val="Aptos Narrow"/>
        <family val="2"/>
        <scheme val="minor"/>
      </rPr>
      <t xml:space="preserve"> B@ 12/ </t>
    </r>
    <r>
      <rPr>
        <b/>
        <sz val="11"/>
        <color theme="1"/>
        <rFont val="Aptos Narrow"/>
        <family val="2"/>
        <scheme val="minor"/>
      </rPr>
      <t>12:30-3 stationary inv</t>
    </r>
  </si>
  <si>
    <t>7:30a-12p GROUND</t>
  </si>
  <si>
    <t>10:30a-2:30p event/ 3-3:30 f2</t>
  </si>
  <si>
    <t>1:30p-6p GR</t>
  </si>
  <si>
    <r>
      <t xml:space="preserve">7:30a-6p GR </t>
    </r>
    <r>
      <rPr>
        <b/>
        <sz val="11"/>
        <color theme="7"/>
        <rFont val="Aptos Narrow"/>
        <family val="2"/>
        <scheme val="minor"/>
      </rPr>
      <t>B@12</t>
    </r>
  </si>
  <si>
    <t>Itohan</t>
  </si>
  <si>
    <r>
      <t>1-1:30 f2/1:30-2 f6/ 2-2:30 GR/</t>
    </r>
    <r>
      <rPr>
        <b/>
        <sz val="11"/>
        <color theme="7"/>
        <rFont val="Aptos Narrow"/>
        <family val="2"/>
        <scheme val="minor"/>
      </rPr>
      <t xml:space="preserve"> B@2:30</t>
    </r>
    <r>
      <rPr>
        <b/>
        <sz val="11"/>
        <rFont val="Aptos Narrow"/>
        <family val="2"/>
        <scheme val="minor"/>
      </rPr>
      <t xml:space="preserve">/ 3-7:30 f2/ closing </t>
    </r>
  </si>
  <si>
    <t xml:space="preserve">12p-12:30 GR/ 12:30-7:30p f2/ closing </t>
  </si>
  <si>
    <t>3:30p-7:30p closing/f2</t>
  </si>
  <si>
    <r>
      <rPr>
        <sz val="11"/>
        <color rgb="FFFF0000"/>
        <rFont val="Aptos Narrow"/>
        <family val="2"/>
        <scheme val="minor"/>
      </rPr>
      <t>12p-2:30 f2CC</t>
    </r>
    <r>
      <rPr>
        <sz val="11"/>
        <rFont val="Aptos Narrow"/>
        <family val="2"/>
        <scheme val="minor"/>
      </rPr>
      <t xml:space="preserve">/ </t>
    </r>
    <r>
      <rPr>
        <sz val="11"/>
        <color theme="7"/>
        <rFont val="Aptos Narrow"/>
        <family val="2"/>
        <scheme val="minor"/>
      </rPr>
      <t>B@2:30</t>
    </r>
    <r>
      <rPr>
        <sz val="11"/>
        <rFont val="Aptos Narrow"/>
        <family val="2"/>
        <scheme val="minor"/>
      </rPr>
      <t>/ 3p-7:30p f2/ closing</t>
    </r>
  </si>
  <si>
    <t>Arnob</t>
  </si>
  <si>
    <t>8a-3p TR w Kavya f6</t>
  </si>
  <si>
    <t>8a-4:30pm TR CC f6</t>
  </si>
  <si>
    <t>8a-6pm TR CC f6</t>
  </si>
  <si>
    <t>8a-1p f2</t>
  </si>
  <si>
    <t>Intern- Levi 6</t>
  </si>
  <si>
    <t>12:30p-3:30 w Fran</t>
  </si>
  <si>
    <r>
      <rPr>
        <b/>
        <sz val="11"/>
        <color theme="1"/>
        <rFont val="Aptos Narrow"/>
        <family val="2"/>
        <scheme val="minor"/>
      </rPr>
      <t>9a-12p w fran</t>
    </r>
    <r>
      <rPr>
        <b/>
        <sz val="11"/>
        <color theme="9"/>
        <rFont val="Aptos Narrow"/>
        <family val="2"/>
        <scheme val="minor"/>
      </rPr>
      <t xml:space="preserve"> (12-12:30 GR)/ </t>
    </r>
    <r>
      <rPr>
        <b/>
        <sz val="11"/>
        <color theme="7"/>
        <rFont val="Aptos Narrow"/>
        <family val="2"/>
        <scheme val="minor"/>
      </rPr>
      <t>B@12:30</t>
    </r>
    <r>
      <rPr>
        <b/>
        <sz val="11"/>
        <color theme="1"/>
        <rFont val="Aptos Narrow"/>
        <family val="2"/>
        <scheme val="minor"/>
      </rPr>
      <t>/ 1-3 w fran</t>
    </r>
  </si>
  <si>
    <t>9a-4p f2/w fran</t>
  </si>
  <si>
    <t>Intern - Himanshu 6</t>
  </si>
  <si>
    <t>9a-3p w Aashima</t>
  </si>
  <si>
    <t>2p-6pm GR</t>
  </si>
  <si>
    <t>9a-3p w fran</t>
  </si>
  <si>
    <t>Saturday</t>
  </si>
  <si>
    <t>HKUST 9am-12pm 15ppl @ MR 6B.   // Instituto Atlantico 3pm - 5pm 8ppl @MR 6B</t>
  </si>
  <si>
    <t xml:space="preserve">Chinese Consulate 2pm-5pm 15ppl @ MR 6B </t>
  </si>
  <si>
    <t xml:space="preserve">Agin Court Highschool 10am - 12pm  7ppl @ 2A   //                                                                </t>
  </si>
  <si>
    <t>Flagship - Tech 9 am - 4pm  120ppl   //      NICHE Visit 9am- 4pm</t>
  </si>
  <si>
    <t>NICHE Visit 9am 11-12</t>
  </si>
  <si>
    <t>Offsite 8a-4p</t>
  </si>
  <si>
    <t>8a-8p offsite</t>
  </si>
  <si>
    <t>Offsite 9a-8:30p</t>
  </si>
  <si>
    <t xml:space="preserve">8a-4p </t>
  </si>
  <si>
    <t>9a-5 WFH</t>
  </si>
  <si>
    <t>8a-4p events + fran</t>
  </si>
  <si>
    <t>9:15a-5:15p events + fran</t>
  </si>
  <si>
    <t>8a-5:10</t>
  </si>
  <si>
    <t xml:space="preserve">8a-2:50 </t>
  </si>
  <si>
    <t>7:30-12:30p (TR PRIYANKA on GR OPENING)</t>
  </si>
  <si>
    <r>
      <t>7:30a-12p GR/</t>
    </r>
    <r>
      <rPr>
        <sz val="11"/>
        <color rgb="FF00B0F0"/>
        <rFont val="Aptos Narrow"/>
        <family val="2"/>
        <scheme val="minor"/>
      </rPr>
      <t xml:space="preserve"> B@12</t>
    </r>
    <r>
      <rPr>
        <sz val="11"/>
        <rFont val="Aptos Narrow"/>
        <family val="2"/>
        <scheme val="minor"/>
      </rPr>
      <t>/ 12:30p-3p F6/EVENT/ 3-3:30p GR</t>
    </r>
  </si>
  <si>
    <t>3:30p-7:30p F2 CL</t>
  </si>
  <si>
    <t xml:space="preserve">10a-2p W Fran Bloor </t>
  </si>
  <si>
    <t>3:30p-7:30p F2/CL</t>
  </si>
  <si>
    <r>
      <rPr>
        <sz val="11"/>
        <rFont val="Aptos Narrow"/>
        <family val="2"/>
        <scheme val="minor"/>
      </rPr>
      <t>8a-1p F6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B0F0"/>
        <rFont val="Aptos Narrow"/>
        <family val="2"/>
        <scheme val="minor"/>
      </rPr>
      <t xml:space="preserve"> </t>
    </r>
  </si>
  <si>
    <r>
      <t>8a-3:30p F6  CC</t>
    </r>
    <r>
      <rPr>
        <sz val="11"/>
        <color rgb="FF00B0F0"/>
        <rFont val="Aptos Narrow"/>
        <family val="2"/>
        <scheme val="minor"/>
      </rPr>
      <t xml:space="preserve"> B@11a</t>
    </r>
  </si>
  <si>
    <t>WFH 8:30a-11a CC</t>
  </si>
  <si>
    <t>9a-4p Niche visit</t>
  </si>
  <si>
    <t>9a-12 Niche Visit</t>
  </si>
  <si>
    <t>1p-6p CC GR</t>
  </si>
  <si>
    <r>
      <t xml:space="preserve">12p-6p CC GR </t>
    </r>
    <r>
      <rPr>
        <b/>
        <sz val="11"/>
        <color rgb="FF00B0F0"/>
        <rFont val="Aptos Narrow"/>
        <family val="2"/>
        <scheme val="minor"/>
      </rPr>
      <t>B@3p</t>
    </r>
  </si>
  <si>
    <r>
      <t xml:space="preserve">9a-5:30p F6 CC </t>
    </r>
    <r>
      <rPr>
        <b/>
        <sz val="11"/>
        <color theme="7"/>
        <rFont val="Aptos Narrow"/>
        <family val="2"/>
        <scheme val="minor"/>
      </rPr>
      <t>B@3:30</t>
    </r>
  </si>
  <si>
    <t>3:30p-7:30 F2 CL</t>
  </si>
  <si>
    <t>11a-7:30p EVENT SET UP + Breaks</t>
  </si>
  <si>
    <r>
      <t xml:space="preserve">8a-3:00p F6 CC </t>
    </r>
    <r>
      <rPr>
        <b/>
        <sz val="11"/>
        <color rgb="FF00B0F0"/>
        <rFont val="Aptos Narrow"/>
        <family val="2"/>
        <scheme val="minor"/>
      </rPr>
      <t>B@1:30p</t>
    </r>
  </si>
  <si>
    <t>3:30p-7p F6 CC</t>
  </si>
  <si>
    <r>
      <t>8a-3p F6 CC</t>
    </r>
    <r>
      <rPr>
        <sz val="11"/>
        <color rgb="FF00B0F0"/>
        <rFont val="Aptos Narrow"/>
        <family val="2"/>
        <scheme val="minor"/>
      </rPr>
      <t xml:space="preserve"> B@12:30</t>
    </r>
  </si>
  <si>
    <t>11a-7p F6 CC</t>
  </si>
  <si>
    <t>8a-12p F6 CC</t>
  </si>
  <si>
    <t>11a-7p f6Cc</t>
  </si>
  <si>
    <t>8a-4p CC F6</t>
  </si>
  <si>
    <t>11a-3:30p F6 CC</t>
  </si>
  <si>
    <t>1:30p-6p GR CC</t>
  </si>
  <si>
    <t>8a-4p F2</t>
  </si>
  <si>
    <r>
      <t xml:space="preserve">8a-4p F2 </t>
    </r>
    <r>
      <rPr>
        <b/>
        <sz val="11"/>
        <color rgb="FF00B0F0"/>
        <rFont val="Aptos Narrow"/>
        <family val="2"/>
        <scheme val="minor"/>
      </rPr>
      <t>B@1</t>
    </r>
  </si>
  <si>
    <r>
      <t xml:space="preserve">7:30a-1p (GR) </t>
    </r>
    <r>
      <rPr>
        <b/>
        <sz val="11"/>
        <color theme="7"/>
        <rFont val="Aptos Narrow"/>
        <family val="2"/>
        <scheme val="minor"/>
      </rPr>
      <t>B@10:30</t>
    </r>
  </si>
  <si>
    <r>
      <t xml:space="preserve">7:30a-2p (GR) </t>
    </r>
    <r>
      <rPr>
        <b/>
        <sz val="11"/>
        <color theme="7"/>
        <rFont val="Aptos Narrow"/>
        <family val="2"/>
        <scheme val="minor"/>
      </rPr>
      <t>B@10:30</t>
    </r>
  </si>
  <si>
    <t>2p-3:30p wfh CC</t>
  </si>
  <si>
    <t>8a-5:30p F2</t>
  </si>
  <si>
    <t>7:30a-2p GR</t>
  </si>
  <si>
    <t>8a-12:30pm EVENT set-up</t>
  </si>
  <si>
    <t>8a-6p</t>
  </si>
  <si>
    <t>2:30p-7:30p F2 CL</t>
  </si>
  <si>
    <t>1p-1:30p F2/ 1:30p-6 GR</t>
  </si>
  <si>
    <t>8a-12:30p f6 CC</t>
  </si>
  <si>
    <t>3-7:30p f2/closing</t>
  </si>
  <si>
    <t>1-2p w Aashima/ 2-7:30 TR f2</t>
  </si>
  <si>
    <t>3p-7:30p closing w Itohan/ f2</t>
  </si>
  <si>
    <t>7:30a-9:30 TR opening w Arfa / 9:30a-2:30p f6 TR CC</t>
  </si>
  <si>
    <t>Intern- Levi 5</t>
  </si>
  <si>
    <t>1p-6p GR CC W Micka</t>
  </si>
  <si>
    <t>8a-3p F6 CC W Ana</t>
  </si>
  <si>
    <t>8a-11:30a F6 CC W Ana</t>
  </si>
  <si>
    <t>Intern - Himanshu 5</t>
  </si>
  <si>
    <r>
      <t xml:space="preserve">10a-12:30p F6 CC/ </t>
    </r>
    <r>
      <rPr>
        <b/>
        <sz val="11"/>
        <color theme="7"/>
        <rFont val="Aptos Narrow"/>
        <family val="2"/>
        <scheme val="minor"/>
      </rPr>
      <t xml:space="preserve">B@12:30p </t>
    </r>
    <r>
      <rPr>
        <b/>
        <sz val="11"/>
        <color theme="9"/>
        <rFont val="Aptos Narrow"/>
        <family val="2"/>
        <scheme val="minor"/>
      </rPr>
      <t xml:space="preserve">/ 1p-6:30p CC GR w Micka </t>
    </r>
  </si>
  <si>
    <t>9a-3:30p/ 6:30-7:30p set-up</t>
  </si>
  <si>
    <t xml:space="preserve">MR 2A- 10AM: Chris+Apply Board 10ppl Coffee Brkfast </t>
  </si>
  <si>
    <r>
      <t xml:space="preserve">HUB Ground - 11:30a-1p : CPA- Career Services //       </t>
    </r>
    <r>
      <rPr>
        <b/>
        <sz val="11"/>
        <color rgb="FFFF0000"/>
        <rFont val="Aptos Narrow"/>
        <family val="2"/>
        <scheme val="minor"/>
      </rPr>
      <t>COMPLETION LETTERS + TRANSCRIPTS</t>
    </r>
  </si>
  <si>
    <t>STAT</t>
  </si>
  <si>
    <t>9a-8:30p</t>
  </si>
  <si>
    <t>9:30p-5:30</t>
  </si>
  <si>
    <t>9a-9pm</t>
  </si>
  <si>
    <t>12-7p</t>
  </si>
  <si>
    <t>9a-5:30</t>
  </si>
  <si>
    <t>9a-4</t>
  </si>
  <si>
    <t>8a-10:30a event/ 10:30-5 w fran/f2</t>
  </si>
  <si>
    <t>8a-5p f2/ Aashima</t>
  </si>
  <si>
    <t>80 Bloor @ 10a-12p/ 12-6 f2</t>
  </si>
  <si>
    <t>8a-2p f2</t>
  </si>
  <si>
    <t>8a-3 f2</t>
  </si>
  <si>
    <t>12-3:30  f2</t>
  </si>
  <si>
    <t xml:space="preserve">8a-3:30 f2 </t>
  </si>
  <si>
    <r>
      <t xml:space="preserve">12-12:30p GR/12:30-1 f2/ 1-1:30 f6/ 1:30-2:30 set-up/ 3-7:30 f2/CL  </t>
    </r>
    <r>
      <rPr>
        <b/>
        <sz val="11"/>
        <color rgb="FF00B0F0"/>
        <rFont val="Aptos Narrow"/>
        <family val="2"/>
        <scheme val="minor"/>
      </rPr>
      <t>B@2:30</t>
    </r>
  </si>
  <si>
    <r>
      <rPr>
        <sz val="11"/>
        <color rgb="FFFF0000"/>
        <rFont val="Aptos Narrow"/>
        <family val="2"/>
        <scheme val="minor"/>
      </rPr>
      <t xml:space="preserve">7:45a-6:15p f6CC </t>
    </r>
    <r>
      <rPr>
        <sz val="11"/>
        <color theme="7"/>
        <rFont val="Aptos Narrow"/>
        <family val="2"/>
        <scheme val="minor"/>
      </rPr>
      <t>B@11:30</t>
    </r>
  </si>
  <si>
    <t>7:45a-3:15 f6CC</t>
  </si>
  <si>
    <r>
      <t xml:space="preserve">7:45a-3:15 f6CC </t>
    </r>
    <r>
      <rPr>
        <sz val="11"/>
        <color theme="7"/>
        <rFont val="Aptos Narrow"/>
        <family val="2"/>
        <scheme val="minor"/>
      </rPr>
      <t>B@1</t>
    </r>
  </si>
  <si>
    <t>7:30a-12:30p GR+elev</t>
  </si>
  <si>
    <r>
      <rPr>
        <b/>
        <sz val="11"/>
        <rFont val="Aptos Narrow"/>
        <family val="2"/>
        <scheme val="minor"/>
      </rPr>
      <t>7:30a-12:15 GR elev</t>
    </r>
    <r>
      <rPr>
        <b/>
        <sz val="11"/>
        <color rgb="FFC00000"/>
        <rFont val="Aptos Narrow"/>
        <family val="2"/>
        <scheme val="minor"/>
      </rPr>
      <t xml:space="preserve">/ </t>
    </r>
    <r>
      <rPr>
        <b/>
        <sz val="11"/>
        <color theme="7"/>
        <rFont val="Aptos Narrow"/>
        <family val="2"/>
        <scheme val="minor"/>
      </rPr>
      <t>B@12:15</t>
    </r>
    <r>
      <rPr>
        <b/>
        <sz val="11"/>
        <color rgb="FFC00000"/>
        <rFont val="Aptos Narrow"/>
        <family val="2"/>
        <scheme val="minor"/>
      </rPr>
      <t>/</t>
    </r>
    <r>
      <rPr>
        <b/>
        <sz val="11"/>
        <rFont val="Aptos Narrow"/>
        <family val="2"/>
        <scheme val="minor"/>
      </rPr>
      <t xml:space="preserve"> 12:45-5p f2</t>
    </r>
  </si>
  <si>
    <t>1p-3:30p f2/ 3:30-6GR</t>
  </si>
  <si>
    <t>12:30-6p GR B@3</t>
  </si>
  <si>
    <t>3:30-4 GR/ 4p-7:30p f2/ closing</t>
  </si>
  <si>
    <t>1p-7:30p f2/closing</t>
  </si>
  <si>
    <r>
      <rPr>
        <b/>
        <sz val="11"/>
        <color theme="1"/>
        <rFont val="Aptos Narrow"/>
        <family val="2"/>
        <scheme val="minor"/>
      </rPr>
      <t>7:30a-9:30a Ground</t>
    </r>
    <r>
      <rPr>
        <b/>
        <sz val="11"/>
        <color theme="8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9:30-6 GR CC</t>
    </r>
    <r>
      <rPr>
        <b/>
        <sz val="11"/>
        <color theme="8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B@12</t>
    </r>
  </si>
  <si>
    <t>8a-12p f2 CC</t>
  </si>
  <si>
    <r>
      <t xml:space="preserve">1:30p-7p f6 CC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</si>
  <si>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11a-4 GROUND CC </t>
    </r>
    <r>
      <rPr>
        <b/>
        <sz val="11"/>
        <color theme="7"/>
        <rFont val="Aptos Narrow"/>
        <family val="2"/>
        <scheme val="minor"/>
      </rPr>
      <t xml:space="preserve">B@3:30/ </t>
    </r>
    <r>
      <rPr>
        <b/>
        <sz val="11"/>
        <color rgb="FFFF0000"/>
        <rFont val="Aptos Narrow"/>
        <family val="2"/>
        <scheme val="minor"/>
      </rPr>
      <t>4-7p f6CC</t>
    </r>
  </si>
  <si>
    <t>9a-1p f2</t>
  </si>
  <si>
    <t>7:30a-11 GR/ 11-12 f2</t>
  </si>
  <si>
    <r>
      <t>7:30a-12:30p GR/</t>
    </r>
    <r>
      <rPr>
        <sz val="11"/>
        <color theme="7"/>
        <rFont val="Aptos Narrow"/>
        <family val="2"/>
        <scheme val="minor"/>
      </rPr>
      <t xml:space="preserve"> B@12:30</t>
    </r>
    <r>
      <rPr>
        <sz val="11"/>
        <rFont val="Aptos Narrow"/>
        <family val="2"/>
        <scheme val="minor"/>
      </rPr>
      <t>/ 1-3 f2</t>
    </r>
  </si>
  <si>
    <r>
      <rPr>
        <sz val="11"/>
        <color rgb="FFFF0000"/>
        <rFont val="Aptos Narrow"/>
        <family val="2"/>
        <scheme val="minor"/>
      </rPr>
      <t>10a-6p GR CC/ 6-7 f6 CC/</t>
    </r>
    <r>
      <rPr>
        <b/>
        <sz val="11"/>
        <color theme="1"/>
        <rFont val="Aptos Narrow"/>
        <family val="2"/>
        <scheme val="minor"/>
      </rPr>
      <t xml:space="preserve"> 7-7:30 TR closing w Vivi</t>
    </r>
    <r>
      <rPr>
        <b/>
        <sz val="11"/>
        <color theme="7"/>
        <rFont val="Aptos Narrow"/>
        <family val="2"/>
        <scheme val="minor"/>
      </rPr>
      <t xml:space="preserve"> B@3:30</t>
    </r>
  </si>
  <si>
    <r>
      <rPr>
        <sz val="11"/>
        <color rgb="FFFF0000"/>
        <rFont val="Aptos Narrow"/>
        <family val="2"/>
        <scheme val="minor"/>
      </rPr>
      <t>12-6p GR CC/ 6-7 f2 CC/</t>
    </r>
    <r>
      <rPr>
        <b/>
        <sz val="11"/>
        <color theme="1"/>
        <rFont val="Aptos Narrow"/>
        <family val="2"/>
        <scheme val="minor"/>
      </rPr>
      <t xml:space="preserve"> 7-7:30 TR closing w Vivi </t>
    </r>
  </si>
  <si>
    <r>
      <t xml:space="preserve">11a-7p f6 CC/ </t>
    </r>
    <r>
      <rPr>
        <b/>
        <sz val="11"/>
        <color theme="1"/>
        <rFont val="Aptos Narrow"/>
        <family val="2"/>
        <scheme val="minor"/>
      </rPr>
      <t>7-7:30 TR closing w Pablo</t>
    </r>
  </si>
  <si>
    <t>8a-4p f6CC</t>
  </si>
  <si>
    <r>
      <t xml:space="preserve">8a-4p f6CC </t>
    </r>
    <r>
      <rPr>
        <b/>
        <sz val="11"/>
        <color theme="7"/>
        <rFont val="Aptos Narrow"/>
        <family val="2"/>
        <scheme val="minor"/>
      </rPr>
      <t>B@1:30</t>
    </r>
  </si>
  <si>
    <t>7:45a-3:45p f6CC</t>
  </si>
  <si>
    <t>Arfa C</t>
  </si>
  <si>
    <r>
      <t xml:space="preserve">f6 CC 11a-6p </t>
    </r>
    <r>
      <rPr>
        <b/>
        <sz val="11"/>
        <color theme="7"/>
        <rFont val="Aptos Narrow"/>
        <family val="2"/>
        <scheme val="minor"/>
      </rPr>
      <t>B@4</t>
    </r>
  </si>
  <si>
    <t>10a-2:30p f2</t>
  </si>
  <si>
    <r>
      <t>f6 CC 12-7p f6CC</t>
    </r>
    <r>
      <rPr>
        <b/>
        <sz val="11"/>
        <color theme="7"/>
        <rFont val="Aptos Narrow"/>
        <family val="2"/>
        <scheme val="minor"/>
      </rPr>
      <t xml:space="preserve"> B@2:30</t>
    </r>
  </si>
  <si>
    <r>
      <t xml:space="preserve">8a-3p f2 Train Desk </t>
    </r>
    <r>
      <rPr>
        <b/>
        <sz val="11"/>
        <color theme="7"/>
        <rFont val="Aptos Narrow"/>
        <family val="2"/>
        <scheme val="minor"/>
      </rPr>
      <t>B@1</t>
    </r>
  </si>
  <si>
    <t>8a-4:30p f2</t>
  </si>
  <si>
    <t>8a-6p f2</t>
  </si>
  <si>
    <r>
      <t xml:space="preserve">8a-3p f2 </t>
    </r>
    <r>
      <rPr>
        <sz val="11"/>
        <color theme="7"/>
        <rFont val="Aptos Narrow"/>
        <family val="2"/>
        <scheme val="minor"/>
      </rPr>
      <t>B@12:30</t>
    </r>
  </si>
  <si>
    <r>
      <t xml:space="preserve">8a-11a TR CC w Kavia f6/ </t>
    </r>
    <r>
      <rPr>
        <b/>
        <sz val="11"/>
        <color theme="7"/>
        <rFont val="Aptos Narrow"/>
        <family val="2"/>
        <scheme val="minor"/>
      </rPr>
      <t xml:space="preserve">B@11 / </t>
    </r>
    <r>
      <rPr>
        <b/>
        <sz val="11"/>
        <color theme="1"/>
        <rFont val="Aptos Narrow"/>
        <family val="2"/>
        <scheme val="minor"/>
      </rPr>
      <t>11:30a-5p f2 / refresher w Pablo</t>
    </r>
  </si>
  <si>
    <r>
      <t>9:30a-12:30 event/ B@</t>
    </r>
    <r>
      <rPr>
        <b/>
        <sz val="11"/>
        <color theme="7"/>
        <rFont val="Aptos Narrow"/>
        <family val="2"/>
        <scheme val="minor"/>
      </rPr>
      <t>12:30</t>
    </r>
    <r>
      <rPr>
        <b/>
        <sz val="11"/>
        <color theme="1"/>
        <rFont val="Aptos Narrow"/>
        <family val="2"/>
        <scheme val="minor"/>
      </rPr>
      <t>/ 1- 6p f2</t>
    </r>
  </si>
  <si>
    <t>3-3:30 GR/ 3:30p-7:30p f2/ closing</t>
  </si>
  <si>
    <t>2:30p-6:30 f2</t>
  </si>
  <si>
    <t>Intern- Levi 4</t>
  </si>
  <si>
    <t>12p-5p f2</t>
  </si>
  <si>
    <t>8a-1p f2 desk</t>
  </si>
  <si>
    <t>12:30p-7:30p f2/ closing</t>
  </si>
  <si>
    <t>7:30a-12:30 GR w Vivi</t>
  </si>
  <si>
    <t>Intern - Himanshu 4</t>
  </si>
  <si>
    <t>9a-6p f2</t>
  </si>
  <si>
    <t>Graduate photos 608  / set-up for MD next day</t>
  </si>
  <si>
    <t xml:space="preserve">Graduate photos 608  / TRANSCRIPTS ?? / MOTHER'S DAY EVENT HUB </t>
  </si>
  <si>
    <t>VIP EVENT CREDENTIALING - HUB 3:30p-5:30p</t>
  </si>
  <si>
    <t xml:space="preserve">    AASHIMA CC TRAINING 9p-2pm </t>
  </si>
  <si>
    <t>9a-12 offsite/ 12-9:30p</t>
  </si>
  <si>
    <t>8:30a-6p</t>
  </si>
  <si>
    <t>10a-6:30 (offsite 11:45a-2p) / 8-11p admin</t>
  </si>
  <si>
    <t>10a-7wfh lieu banked</t>
  </si>
  <si>
    <t>9a-1:30p TR CC/ 1:30-5p</t>
  </si>
  <si>
    <t>12p-7:30p GR HUB</t>
  </si>
  <si>
    <r>
      <t>7:30a-8:30 GR/</t>
    </r>
    <r>
      <rPr>
        <b/>
        <sz val="11"/>
        <color theme="8"/>
        <rFont val="Aptos Narrow"/>
        <family val="2"/>
        <scheme val="minor"/>
      </rPr>
      <t>8a-9a ELEV</t>
    </r>
    <r>
      <rPr>
        <b/>
        <sz val="11"/>
        <rFont val="Aptos Narrow"/>
        <family val="2"/>
        <scheme val="minor"/>
      </rPr>
      <t xml:space="preserve">/ 9a-10:30 f2 </t>
    </r>
    <r>
      <rPr>
        <b/>
        <sz val="11"/>
        <color theme="7"/>
        <rFont val="Aptos Narrow"/>
        <family val="2"/>
        <scheme val="minor"/>
      </rPr>
      <t>B@10:30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11-12:30 ELEV</t>
    </r>
    <r>
      <rPr>
        <b/>
        <sz val="11"/>
        <rFont val="Aptos Narrow"/>
        <family val="2"/>
        <scheme val="minor"/>
      </rPr>
      <t>/ 12:30-1 GROUND</t>
    </r>
  </si>
  <si>
    <t>11a-7:30p f2 CC/ closing</t>
  </si>
  <si>
    <r>
      <rPr>
        <b/>
        <sz val="11"/>
        <color rgb="FFC00000"/>
        <rFont val="Aptos Narrow"/>
        <family val="2"/>
        <scheme val="minor"/>
      </rPr>
      <t>7:45a-4:15p f6 CC</t>
    </r>
    <r>
      <rPr>
        <sz val="11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</t>
    </r>
  </si>
  <si>
    <r>
      <rPr>
        <b/>
        <sz val="11"/>
        <color rgb="FFC00000"/>
        <rFont val="Aptos Narrow"/>
        <family val="2"/>
        <scheme val="minor"/>
      </rPr>
      <t>7:30a-3:30p f6 CC</t>
    </r>
    <r>
      <rPr>
        <sz val="11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</t>
    </r>
  </si>
  <si>
    <t>10a-12 GROUND CC/ 12-7p f6 CC</t>
  </si>
  <si>
    <t xml:space="preserve">8a-3p f2 </t>
  </si>
  <si>
    <r>
      <t xml:space="preserve">8a-6p f2  </t>
    </r>
    <r>
      <rPr>
        <b/>
        <sz val="11"/>
        <color theme="7"/>
        <rFont val="Aptos Narrow"/>
        <family val="2"/>
        <scheme val="minor"/>
      </rPr>
      <t>B@2:30p</t>
    </r>
  </si>
  <si>
    <r>
      <rPr>
        <b/>
        <sz val="11"/>
        <color rgb="FFC00000"/>
        <rFont val="Aptos Narrow"/>
        <family val="2"/>
        <scheme val="minor"/>
      </rPr>
      <t>8a-3:30p f6 CC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B@11a</t>
    </r>
  </si>
  <si>
    <t>7:45a-10:45a GROUND</t>
  </si>
  <si>
    <r>
      <rPr>
        <b/>
        <sz val="11"/>
        <rFont val="Aptos Narrow"/>
        <family val="2"/>
        <scheme val="minor"/>
      </rPr>
      <t xml:space="preserve">12p-12:30 f2 </t>
    </r>
    <r>
      <rPr>
        <b/>
        <sz val="11"/>
        <color rgb="FFFF0000"/>
        <rFont val="Aptos Narrow"/>
        <family val="2"/>
        <scheme val="minor"/>
      </rPr>
      <t>/ 12:30-7p CC f6</t>
    </r>
  </si>
  <si>
    <t>3:30p-7:30p f2/ closer</t>
  </si>
  <si>
    <t>2:30-7:30 f2/closer</t>
  </si>
  <si>
    <t>3-7:30p f2/ closer</t>
  </si>
  <si>
    <r>
      <t>2:30p-3 f2/</t>
    </r>
    <r>
      <rPr>
        <b/>
        <sz val="11"/>
        <color theme="8" tint="0.59999389629810485"/>
        <rFont val="Aptos Narrow"/>
        <family val="2"/>
        <scheme val="minor"/>
      </rPr>
      <t xml:space="preserve"> 3-6 event/</t>
    </r>
    <r>
      <rPr>
        <b/>
        <sz val="11"/>
        <rFont val="Aptos Narrow"/>
        <family val="2"/>
        <scheme val="minor"/>
      </rPr>
      <t xml:space="preserve"> 6-7:30p f2/ closer</t>
    </r>
  </si>
  <si>
    <r>
      <t xml:space="preserve">8a-2p f6CC </t>
    </r>
    <r>
      <rPr>
        <b/>
        <sz val="11"/>
        <color theme="7"/>
        <rFont val="Aptos Narrow"/>
        <family val="2"/>
        <scheme val="minor"/>
      </rPr>
      <t>B@12</t>
    </r>
  </si>
  <si>
    <t>8a-11a f2</t>
  </si>
  <si>
    <r>
      <t xml:space="preserve">11a-7p f6CC </t>
    </r>
    <r>
      <rPr>
        <b/>
        <sz val="11"/>
        <color theme="7"/>
        <rFont val="Aptos Narrow"/>
        <family val="2"/>
        <scheme val="minor"/>
      </rPr>
      <t>B@3</t>
    </r>
  </si>
  <si>
    <r>
      <t xml:space="preserve">8a-3p f6CC </t>
    </r>
    <r>
      <rPr>
        <b/>
        <sz val="11"/>
        <color theme="7"/>
        <rFont val="Aptos Narrow"/>
        <family val="2"/>
        <scheme val="minor"/>
      </rPr>
      <t>B@1p</t>
    </r>
  </si>
  <si>
    <r>
      <t xml:space="preserve">11:30a-7p f6CC </t>
    </r>
    <r>
      <rPr>
        <b/>
        <sz val="11"/>
        <color theme="7"/>
        <rFont val="Aptos Narrow"/>
        <family val="2"/>
        <scheme val="minor"/>
      </rPr>
      <t>B@1:30</t>
    </r>
  </si>
  <si>
    <t>7:45a-11a f2 CC</t>
  </si>
  <si>
    <r>
      <rPr>
        <b/>
        <sz val="11"/>
        <color theme="8"/>
        <rFont val="Aptos Narrow"/>
        <family val="2"/>
        <scheme val="minor"/>
      </rPr>
      <t>7:45a-8:45 GR &amp; ELEV</t>
    </r>
    <r>
      <rPr>
        <b/>
        <sz val="11"/>
        <color rgb="FFFF0000"/>
        <rFont val="Aptos Narrow"/>
        <family val="2"/>
        <scheme val="minor"/>
      </rPr>
      <t xml:space="preserve">/ 9a-6p GROUND CC </t>
    </r>
    <r>
      <rPr>
        <b/>
        <sz val="11"/>
        <color theme="7"/>
        <rFont val="Aptos Narrow"/>
        <family val="2"/>
        <scheme val="minor"/>
      </rPr>
      <t>B@2:30</t>
    </r>
  </si>
  <si>
    <t xml:space="preserve">7:30a-11a GROUND </t>
  </si>
  <si>
    <r>
      <t xml:space="preserve">8a-4p f2 CC </t>
    </r>
    <r>
      <rPr>
        <sz val="11"/>
        <color theme="7"/>
        <rFont val="Aptos Narrow"/>
        <family val="2"/>
        <scheme val="minor"/>
      </rPr>
      <t>B@12</t>
    </r>
  </si>
  <si>
    <r>
      <t>11a-7p f6 CC</t>
    </r>
    <r>
      <rPr>
        <b/>
        <sz val="11"/>
        <color theme="7"/>
        <rFont val="Aptos Narrow"/>
        <family val="2"/>
        <scheme val="minor"/>
      </rPr>
      <t xml:space="preserve"> B@3</t>
    </r>
  </si>
  <si>
    <r>
      <t xml:space="preserve">11a-2:30p f2 CC/ 2:30-7p f6 CC </t>
    </r>
    <r>
      <rPr>
        <b/>
        <sz val="11"/>
        <color theme="7"/>
        <rFont val="Aptos Narrow"/>
        <family val="2"/>
        <scheme val="minor"/>
      </rPr>
      <t>B@3:30p</t>
    </r>
  </si>
  <si>
    <r>
      <t xml:space="preserve">8:30a-6p GROUND CC </t>
    </r>
    <r>
      <rPr>
        <b/>
        <sz val="11"/>
        <color theme="7"/>
        <rFont val="Aptos Narrow"/>
        <family val="2"/>
        <scheme val="minor"/>
      </rPr>
      <t>B@12:30</t>
    </r>
  </si>
  <si>
    <t>8a-11a f2 CC TR w Meg/ 11a-4p f2 TR w Aashima</t>
  </si>
  <si>
    <t>TR w Mickaela 8a-4p f6CC</t>
  </si>
  <si>
    <r>
      <rPr>
        <b/>
        <sz val="11"/>
        <rFont val="Aptos Narrow"/>
        <family val="2"/>
        <scheme val="minor"/>
      </rPr>
      <t>8a-9a f6CC</t>
    </r>
    <r>
      <rPr>
        <b/>
        <sz val="11"/>
        <color theme="9"/>
        <rFont val="Aptos Narrow"/>
        <family val="2"/>
        <scheme val="minor"/>
      </rPr>
      <t xml:space="preserve">/ 9a-2p TR CC w Aashima/ </t>
    </r>
    <r>
      <rPr>
        <b/>
        <sz val="11"/>
        <color theme="7"/>
        <rFont val="Aptos Narrow"/>
        <family val="2"/>
        <scheme val="minor"/>
      </rPr>
      <t>B@2</t>
    </r>
    <r>
      <rPr>
        <b/>
        <sz val="11"/>
        <color theme="9"/>
        <rFont val="Aptos Narrow"/>
        <family val="2"/>
        <scheme val="minor"/>
      </rPr>
      <t xml:space="preserve">/ </t>
    </r>
    <r>
      <rPr>
        <b/>
        <sz val="11"/>
        <color theme="1"/>
        <rFont val="Aptos Narrow"/>
        <family val="2"/>
        <scheme val="minor"/>
      </rPr>
      <t>2:30-4 f2</t>
    </r>
  </si>
  <si>
    <r>
      <t xml:space="preserve">TR w Kavya 8a-4p f6CC </t>
    </r>
    <r>
      <rPr>
        <b/>
        <sz val="11"/>
        <color theme="7"/>
        <rFont val="Aptos Narrow"/>
        <family val="2"/>
        <scheme val="minor"/>
      </rPr>
      <t>B@1:30</t>
    </r>
  </si>
  <si>
    <t>9a-2p TR CC w Aashima</t>
  </si>
  <si>
    <t>7:30a-11:30a GROUND</t>
  </si>
  <si>
    <t>10:30a-6p GROUND</t>
  </si>
  <si>
    <t>3p-8p EVENT + Closing</t>
  </si>
  <si>
    <t xml:space="preserve">11a-7:30p f2/closing </t>
  </si>
  <si>
    <t>Daria  (temp) 24 hrs</t>
  </si>
  <si>
    <t>7:30a-6pm Ground</t>
  </si>
  <si>
    <t>11a-5 w fran Lawrence/ Bloor</t>
  </si>
  <si>
    <t>10-7p EVENT</t>
  </si>
  <si>
    <t>10a-5pm w FRAN</t>
  </si>
  <si>
    <t>8a-10a w Nabeela/ 10a-5p w Fran</t>
  </si>
  <si>
    <t>11a-7p w fran/ event lead &amp; BAR</t>
  </si>
  <si>
    <r>
      <rPr>
        <b/>
        <sz val="11"/>
        <color theme="1"/>
        <rFont val="Aptos Narrow"/>
        <family val="2"/>
        <scheme val="minor"/>
      </rPr>
      <t>8a-9a f2 TR w MEG/</t>
    </r>
    <r>
      <rPr>
        <b/>
        <sz val="11"/>
        <color theme="9"/>
        <rFont val="Aptos Narrow"/>
        <family val="2"/>
        <scheme val="minor"/>
      </rPr>
      <t xml:space="preserve"> 9a-2p TR CC w Aashima/ </t>
    </r>
    <r>
      <rPr>
        <b/>
        <sz val="11"/>
        <color theme="7"/>
        <rFont val="Aptos Narrow"/>
        <family val="2"/>
        <scheme val="minor"/>
      </rPr>
      <t xml:space="preserve">B@2/ </t>
    </r>
    <r>
      <rPr>
        <b/>
        <sz val="11"/>
        <color theme="1"/>
        <rFont val="Aptos Narrow"/>
        <family val="2"/>
        <scheme val="minor"/>
      </rPr>
      <t>2:30-4 f2</t>
    </r>
  </si>
  <si>
    <t>Intern- Levi 3</t>
  </si>
  <si>
    <t>8a-1p f2 DESK TR</t>
  </si>
  <si>
    <t>11:30a-6p GR</t>
  </si>
  <si>
    <t>Intern - Himanshu 3</t>
  </si>
  <si>
    <r>
      <rPr>
        <b/>
        <sz val="11"/>
        <color theme="8"/>
        <rFont val="Aptos Narrow"/>
        <family val="2"/>
        <scheme val="minor"/>
      </rPr>
      <t xml:space="preserve">8a-9 ELEV/ </t>
    </r>
    <r>
      <rPr>
        <b/>
        <sz val="11"/>
        <color theme="9"/>
        <rFont val="Aptos Narrow"/>
        <family val="2"/>
        <scheme val="minor"/>
      </rPr>
      <t>9a-11 f2/</t>
    </r>
    <r>
      <rPr>
        <b/>
        <sz val="11"/>
        <color theme="8"/>
        <rFont val="Aptos Narrow"/>
        <family val="2"/>
        <scheme val="minor"/>
      </rPr>
      <t xml:space="preserve"> 11-12 ELV/</t>
    </r>
    <r>
      <rPr>
        <b/>
        <sz val="11"/>
        <color theme="9"/>
        <rFont val="Aptos Narrow"/>
        <family val="2"/>
        <scheme val="minor"/>
      </rPr>
      <t xml:space="preserve"> 12-1p f2 DESK TR</t>
    </r>
  </si>
  <si>
    <t>2p-7p GR event</t>
  </si>
  <si>
    <r>
      <rPr>
        <b/>
        <sz val="11"/>
        <color rgb="FF000000"/>
        <rFont val="Aptos Narrow"/>
        <family val="2"/>
      </rPr>
      <t xml:space="preserve">Graduate photos 608 / Reading week / </t>
    </r>
    <r>
      <rPr>
        <b/>
        <sz val="11"/>
        <color rgb="FFA02B93"/>
        <rFont val="Aptos Narrow"/>
        <family val="2"/>
      </rPr>
      <t xml:space="preserve">MOU signing ceremony with EPRI - 3PM 6B </t>
    </r>
    <r>
      <rPr>
        <b/>
        <sz val="11"/>
        <color rgb="FF000000"/>
        <rFont val="Aptos Narrow"/>
        <family val="2"/>
      </rPr>
      <t xml:space="preserve">/ </t>
    </r>
    <r>
      <rPr>
        <b/>
        <sz val="11"/>
        <color rgb="FFFF0000"/>
        <rFont val="Aptos Narrow"/>
        <family val="2"/>
      </rPr>
      <t>ORIENTATION F2+ Ground</t>
    </r>
    <r>
      <rPr>
        <b/>
        <sz val="11"/>
        <color rgb="FF000000"/>
        <rFont val="Aptos Narrow"/>
        <family val="2"/>
      </rPr>
      <t xml:space="preserve">  / Registration 601 &amp;multipurpose off</t>
    </r>
  </si>
  <si>
    <t>Graduate photos 608 / Reading week</t>
  </si>
  <si>
    <t xml:space="preserve">First Day of Class  / FRAN &amp; AASHIMA KH 10a-3p </t>
  </si>
  <si>
    <t>Graduate photos 608 / Reading week         CHINNI LAST DAY!</t>
  </si>
  <si>
    <t>9a-12pm offsite/ 12-7:30</t>
  </si>
  <si>
    <t>10a-8:30p</t>
  </si>
  <si>
    <t>9a-6p</t>
  </si>
  <si>
    <t>8a-4p</t>
  </si>
  <si>
    <t>RO -lieu used</t>
  </si>
  <si>
    <t>7:45a-3:45p GROUND Lead/ runner</t>
  </si>
  <si>
    <t>7:45a-3:15p f2 desk</t>
  </si>
  <si>
    <t>8a-12p f2/ 12-12:30GR</t>
  </si>
  <si>
    <t>11a-7p f2  Lead/ Runner</t>
  </si>
  <si>
    <r>
      <t xml:space="preserve">7:45a-3:15p f6 CC </t>
    </r>
    <r>
      <rPr>
        <b/>
        <sz val="11"/>
        <color theme="7"/>
        <rFont val="Aptos Narrow"/>
        <family val="2"/>
        <scheme val="minor"/>
      </rPr>
      <t>B@1</t>
    </r>
  </si>
  <si>
    <t>7:45a-5:45 f6</t>
  </si>
  <si>
    <t>8a-5p f6 Lead/ Runner</t>
  </si>
  <si>
    <r>
      <t xml:space="preserve">8a-6p f6 </t>
    </r>
    <r>
      <rPr>
        <b/>
        <sz val="11"/>
        <color theme="7"/>
        <rFont val="Aptos Narrow"/>
        <family val="2"/>
        <scheme val="minor"/>
      </rPr>
      <t>B@2</t>
    </r>
  </si>
  <si>
    <r>
      <t xml:space="preserve">8a-2:30p f2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</si>
  <si>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8a-6p </t>
    </r>
    <r>
      <rPr>
        <b/>
        <sz val="11"/>
        <rFont val="Aptos Narrow"/>
        <family val="2"/>
        <scheme val="minor"/>
      </rPr>
      <t>G</t>
    </r>
    <r>
      <rPr>
        <sz val="11"/>
        <rFont val="Aptos Narrow"/>
        <family val="2"/>
        <scheme val="minor"/>
      </rPr>
      <t>ROUND DESK</t>
    </r>
  </si>
  <si>
    <r>
      <t xml:space="preserve">11a-7p </t>
    </r>
    <r>
      <rPr>
        <b/>
        <sz val="11"/>
        <color rgb="FFFF0000"/>
        <rFont val="Aptos Narrow"/>
        <family val="2"/>
        <scheme val="minor"/>
      </rPr>
      <t>GR</t>
    </r>
    <r>
      <rPr>
        <sz val="11"/>
        <color rgb="FFFF0000"/>
        <rFont val="Aptos Narrow"/>
        <family val="2"/>
        <scheme val="minor"/>
      </rPr>
      <t xml:space="preserve"> CC</t>
    </r>
  </si>
  <si>
    <r>
      <rPr>
        <b/>
        <sz val="11"/>
        <rFont val="Aptos Narrow"/>
        <family val="2"/>
        <scheme val="minor"/>
      </rPr>
      <t>12p-7:30 f2/ closer</t>
    </r>
    <r>
      <rPr>
        <b/>
        <sz val="11"/>
        <color theme="8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B@2:30</t>
    </r>
  </si>
  <si>
    <t>2p-8pm  f2/ closer</t>
  </si>
  <si>
    <t>2:30p-3 f6/ 3-7:30 f2 closer</t>
  </si>
  <si>
    <t>2:30p-3 GR/ 3-7:30 f2 closer</t>
  </si>
  <si>
    <t>4p-7:30p f2/closer</t>
  </si>
  <si>
    <t>2:30p-730 f2/closer</t>
  </si>
  <si>
    <t>8a-3:30p CC WFH</t>
  </si>
  <si>
    <r>
      <t xml:space="preserve">8a-7p f6CC </t>
    </r>
    <r>
      <rPr>
        <sz val="11"/>
        <color theme="7"/>
        <rFont val="Aptos Narrow"/>
        <family val="2"/>
        <scheme val="minor"/>
      </rPr>
      <t>B@2:30</t>
    </r>
  </si>
  <si>
    <r>
      <t xml:space="preserve">CC 8a-3pm f6 </t>
    </r>
    <r>
      <rPr>
        <b/>
        <sz val="11"/>
        <color theme="7"/>
        <rFont val="Aptos Narrow"/>
        <family val="2"/>
        <scheme val="minor"/>
      </rPr>
      <t>B@12:30</t>
    </r>
  </si>
  <si>
    <t>8a-12p F2 CC/ desk</t>
  </si>
  <si>
    <r>
      <t>7:30a-6p</t>
    </r>
    <r>
      <rPr>
        <b/>
        <sz val="11"/>
        <rFont val="Aptos Narrow"/>
        <family val="2"/>
        <scheme val="minor"/>
      </rPr>
      <t xml:space="preserve"> G</t>
    </r>
    <r>
      <rPr>
        <sz val="11"/>
        <rFont val="Aptos Narrow"/>
        <family val="2"/>
        <scheme val="minor"/>
      </rPr>
      <t xml:space="preserve">round </t>
    </r>
    <r>
      <rPr>
        <b/>
        <sz val="11"/>
        <color theme="7"/>
        <rFont val="Aptos Narrow"/>
        <family val="2"/>
        <scheme val="minor"/>
      </rPr>
      <t>B@2:30p</t>
    </r>
    <r>
      <rPr>
        <sz val="11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(elev 8a-8:45a)</t>
    </r>
  </si>
  <si>
    <r>
      <t xml:space="preserve">8a-11:30a </t>
    </r>
    <r>
      <rPr>
        <b/>
        <sz val="11"/>
        <color rgb="FFFF0000"/>
        <rFont val="Aptos Narrow"/>
        <family val="2"/>
        <scheme val="minor"/>
      </rPr>
      <t>GR</t>
    </r>
    <r>
      <rPr>
        <sz val="11"/>
        <color rgb="FFFF0000"/>
        <rFont val="Aptos Narrow"/>
        <family val="2"/>
        <scheme val="minor"/>
      </rPr>
      <t xml:space="preserve"> CC</t>
    </r>
  </si>
  <si>
    <r>
      <t>CC 8a-3pm f6</t>
    </r>
    <r>
      <rPr>
        <sz val="11"/>
        <color theme="7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</t>
    </r>
  </si>
  <si>
    <t>7:45a-3:45p f6 Desk</t>
  </si>
  <si>
    <t>8a-1 GR CC</t>
  </si>
  <si>
    <r>
      <t xml:space="preserve">8a-3:30p f2CC </t>
    </r>
    <r>
      <rPr>
        <b/>
        <sz val="11"/>
        <color theme="7"/>
        <rFont val="Aptos Narrow"/>
        <family val="2"/>
        <scheme val="minor"/>
      </rPr>
      <t>B@1</t>
    </r>
    <r>
      <rPr>
        <b/>
        <sz val="11"/>
        <color rgb="FFFF0000"/>
        <rFont val="Aptos Narrow"/>
        <family val="2"/>
        <scheme val="minor"/>
      </rPr>
      <t>:</t>
    </r>
    <r>
      <rPr>
        <b/>
        <sz val="11"/>
        <color theme="7"/>
        <rFont val="Aptos Narrow"/>
        <family val="2"/>
        <scheme val="minor"/>
      </rPr>
      <t>30</t>
    </r>
  </si>
  <si>
    <t>2:30p-7p CC f6</t>
  </si>
  <si>
    <t>PRIYANKA (training)</t>
  </si>
  <si>
    <t>TR 8a-4p f6CC</t>
  </si>
  <si>
    <r>
      <t xml:space="preserve"> </t>
    </r>
    <r>
      <rPr>
        <b/>
        <sz val="11"/>
        <color theme="8"/>
        <rFont val="Aptos Narrow"/>
        <family val="2"/>
        <scheme val="minor"/>
      </rPr>
      <t xml:space="preserve">(8a-9a ELEV) </t>
    </r>
    <r>
      <rPr>
        <b/>
        <sz val="11"/>
        <color theme="9"/>
        <rFont val="Aptos Narrow"/>
        <family val="2"/>
        <scheme val="minor"/>
      </rPr>
      <t>TR 9a-4p f6CC</t>
    </r>
  </si>
  <si>
    <t>Volunteering/ RO</t>
  </si>
  <si>
    <r>
      <t xml:space="preserve">8a-1p TR desk W Pablo </t>
    </r>
    <r>
      <rPr>
        <sz val="11"/>
        <rFont val="Aptos Narrow"/>
        <family val="2"/>
        <scheme val="minor"/>
      </rPr>
      <t>no brk</t>
    </r>
  </si>
  <si>
    <r>
      <t>8a-6p</t>
    </r>
    <r>
      <rPr>
        <b/>
        <sz val="11"/>
        <rFont val="Aptos Narrow"/>
        <family val="2"/>
        <scheme val="minor"/>
      </rPr>
      <t xml:space="preserve"> G</t>
    </r>
    <r>
      <rPr>
        <sz val="11"/>
        <rFont val="Aptos Narrow"/>
        <family val="2"/>
        <scheme val="minor"/>
      </rPr>
      <t xml:space="preserve">round </t>
    </r>
    <r>
      <rPr>
        <b/>
        <sz val="11"/>
        <color theme="8"/>
        <rFont val="Aptos Narrow"/>
        <family val="2"/>
        <scheme val="minor"/>
      </rPr>
      <t xml:space="preserve">11a-12p elev GR </t>
    </r>
    <r>
      <rPr>
        <b/>
        <sz val="11"/>
        <color theme="7"/>
        <rFont val="Aptos Narrow"/>
        <family val="2"/>
        <scheme val="minor"/>
      </rPr>
      <t>B@12:30</t>
    </r>
  </si>
  <si>
    <t>12p-3p GROUND</t>
  </si>
  <si>
    <t>12p-7p f6 runner/ support</t>
  </si>
  <si>
    <t>7:45a-3:30p f2</t>
  </si>
  <si>
    <r>
      <t xml:space="preserve">7:30a-12 </t>
    </r>
    <r>
      <rPr>
        <b/>
        <sz val="11"/>
        <rFont val="Aptos Narrow"/>
        <family val="2"/>
        <scheme val="minor"/>
      </rPr>
      <t>GROUND</t>
    </r>
    <r>
      <rPr>
        <sz val="11"/>
        <rFont val="Aptos Narrow"/>
        <family val="2"/>
        <scheme val="minor"/>
      </rPr>
      <t xml:space="preserve"> 12-12:30 f2/ </t>
    </r>
    <r>
      <rPr>
        <sz val="11"/>
        <color rgb="FFFF0000"/>
        <rFont val="Aptos Narrow"/>
        <family val="2"/>
        <scheme val="minor"/>
      </rPr>
      <t>12:30-1 f6CC</t>
    </r>
    <r>
      <rPr>
        <sz val="11"/>
        <rFont val="Aptos Narrow"/>
        <family val="2"/>
        <scheme val="minor"/>
      </rPr>
      <t xml:space="preserve">/ </t>
    </r>
    <r>
      <rPr>
        <b/>
        <sz val="11"/>
        <color theme="7"/>
        <rFont val="Aptos Narrow"/>
        <family val="2"/>
        <scheme val="minor"/>
      </rPr>
      <t xml:space="preserve">B@1 / </t>
    </r>
    <r>
      <rPr>
        <b/>
        <sz val="11"/>
        <rFont val="Aptos Narrow"/>
        <family val="2"/>
        <scheme val="minor"/>
      </rPr>
      <t>2-3p f2/ 3-5:45p Ground</t>
    </r>
  </si>
  <si>
    <t>Chinnesha (temp) 24 hrs</t>
  </si>
  <si>
    <r>
      <t xml:space="preserve">11-7p f2CC </t>
    </r>
    <r>
      <rPr>
        <b/>
        <sz val="11"/>
        <color theme="7"/>
        <rFont val="Aptos Narrow"/>
        <family val="2"/>
        <scheme val="minor"/>
      </rPr>
      <t>B@3:30</t>
    </r>
  </si>
  <si>
    <r>
      <t xml:space="preserve">11-7p f6CC </t>
    </r>
    <r>
      <rPr>
        <b/>
        <sz val="11"/>
        <color theme="7"/>
        <rFont val="Aptos Narrow"/>
        <family val="2"/>
        <scheme val="minor"/>
      </rPr>
      <t>B@3</t>
    </r>
  </si>
  <si>
    <r>
      <t xml:space="preserve">9:30a-7p f6CC </t>
    </r>
    <r>
      <rPr>
        <b/>
        <sz val="11"/>
        <color theme="7"/>
        <rFont val="Aptos Narrow"/>
        <family val="2"/>
        <scheme val="minor"/>
      </rPr>
      <t>B@1:30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(Cover Mick Brk @ 2:30 f2)</t>
    </r>
  </si>
  <si>
    <t>New Intern- Levi 2</t>
  </si>
  <si>
    <t>8a-3:30pm W NABEELA</t>
  </si>
  <si>
    <r>
      <rPr>
        <b/>
        <sz val="11"/>
        <color theme="8"/>
        <rFont val="Aptos Narrow"/>
        <family val="2"/>
        <scheme val="minor"/>
      </rPr>
      <t>8a-9a ELEV GR</t>
    </r>
    <r>
      <rPr>
        <b/>
        <sz val="11"/>
        <color theme="9"/>
        <rFont val="Aptos Narrow"/>
        <family val="2"/>
        <scheme val="minor"/>
      </rPr>
      <t>/ 9a-11a W Nabeela/</t>
    </r>
    <r>
      <rPr>
        <b/>
        <sz val="11"/>
        <color theme="8"/>
        <rFont val="Aptos Narrow"/>
        <family val="2"/>
        <scheme val="minor"/>
      </rPr>
      <t xml:space="preserve"> 11a-12p elev GR</t>
    </r>
  </si>
  <si>
    <t>New Intern - Himanshu 2</t>
  </si>
  <si>
    <t>12p-7pm w SATISH</t>
  </si>
  <si>
    <t>12p-4p w Satish</t>
  </si>
  <si>
    <r>
      <rPr>
        <b/>
        <sz val="11"/>
        <rFont val="Aptos Narrow"/>
        <family val="2"/>
        <scheme val="minor"/>
      </rPr>
      <t>12p-1 Ground Desk/</t>
    </r>
    <r>
      <rPr>
        <b/>
        <sz val="11"/>
        <color theme="8"/>
        <rFont val="Aptos Narrow"/>
        <family val="2"/>
        <scheme val="minor"/>
      </rPr>
      <t xml:space="preserve"> 1-4p w Satish</t>
    </r>
  </si>
  <si>
    <t>Sunday</t>
  </si>
  <si>
    <t>Notes</t>
  </si>
  <si>
    <t>30 Aprl</t>
  </si>
  <si>
    <t>Graduate photos 608 / Reading week / Registration</t>
  </si>
  <si>
    <r>
      <t xml:space="preserve">Graduate photos 608 / Reading week/ REGISTRATION / </t>
    </r>
    <r>
      <rPr>
        <b/>
        <sz val="11"/>
        <color theme="8"/>
        <rFont val="Aptos Narrow"/>
        <family val="2"/>
        <scheme val="minor"/>
      </rPr>
      <t>Canine Therapy 1p-2p HUB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rgb="FFFF0000"/>
        <rFont val="Aptos Narrow"/>
        <family val="2"/>
        <scheme val="minor"/>
      </rPr>
      <t>OPS Party 2:30-4:30p</t>
    </r>
    <r>
      <rPr>
        <b/>
        <sz val="11"/>
        <color theme="1"/>
        <rFont val="Aptos Narrow"/>
        <family val="2"/>
        <scheme val="minor"/>
      </rPr>
      <t xml:space="preserve"> IQRA LAST DAY</t>
    </r>
  </si>
  <si>
    <t xml:space="preserve">Graduate photos 608 / SCOTIABANK JOB FAIR 5p-7p/ First Aid TRAINING 9a-5p  </t>
  </si>
  <si>
    <r>
      <t xml:space="preserve">Graduate photos 608 / Reading week / </t>
    </r>
    <r>
      <rPr>
        <b/>
        <sz val="11"/>
        <color theme="7"/>
        <rFont val="Aptos Narrow"/>
        <family val="2"/>
        <scheme val="minor"/>
      </rPr>
      <t>Can Close Ground</t>
    </r>
  </si>
  <si>
    <t>9a-8:30p offsite</t>
  </si>
  <si>
    <t>9:30-7p/ 10p-2a</t>
  </si>
  <si>
    <t>10a-8p</t>
  </si>
  <si>
    <t>9a-3 offsite/ 3-7:30p</t>
  </si>
  <si>
    <t>offsite</t>
  </si>
  <si>
    <r>
      <rPr>
        <b/>
        <sz val="11"/>
        <color theme="1"/>
        <rFont val="Aptos Narrow"/>
        <family val="2"/>
        <scheme val="minor"/>
      </rPr>
      <t>8a</t>
    </r>
    <r>
      <rPr>
        <sz val="11"/>
        <color theme="1"/>
        <rFont val="Aptos Narrow"/>
        <family val="2"/>
        <scheme val="minor"/>
      </rPr>
      <t>-5p f2</t>
    </r>
  </si>
  <si>
    <t>9a-4 WFH</t>
  </si>
  <si>
    <t>8a-3p f2</t>
  </si>
  <si>
    <t>11a-5:30p Events</t>
  </si>
  <si>
    <t>12- 8p events + closing</t>
  </si>
  <si>
    <r>
      <t xml:space="preserve">10a-2p campus reset/ </t>
    </r>
    <r>
      <rPr>
        <b/>
        <sz val="11"/>
        <color theme="7"/>
        <rFont val="Aptos Narrow"/>
        <family val="2"/>
        <scheme val="minor"/>
      </rPr>
      <t xml:space="preserve">B@2/ </t>
    </r>
    <r>
      <rPr>
        <b/>
        <sz val="11"/>
        <color rgb="FFFF0000"/>
        <rFont val="Aptos Narrow"/>
        <family val="2"/>
        <scheme val="minor"/>
      </rPr>
      <t xml:space="preserve">2:30-3 GR CC/ </t>
    </r>
    <r>
      <rPr>
        <b/>
        <sz val="11"/>
        <rFont val="Aptos Narrow"/>
        <family val="2"/>
        <scheme val="minor"/>
      </rPr>
      <t>3-3:30 f2</t>
    </r>
    <r>
      <rPr>
        <b/>
        <sz val="11"/>
        <color theme="8"/>
        <rFont val="Aptos Narrow"/>
        <family val="2"/>
        <scheme val="minor"/>
      </rPr>
      <t>/ 3:30-4 set-up</t>
    </r>
  </si>
  <si>
    <t>7:45a-12:45p GROUND</t>
  </si>
  <si>
    <t>7:30a-9a GR CC/ 9a-4p f2 CC</t>
  </si>
  <si>
    <t>7:30a-4p F6 CC</t>
  </si>
  <si>
    <t>8a-6p f6</t>
  </si>
  <si>
    <t>8a-3:30p f6</t>
  </si>
  <si>
    <r>
      <t xml:space="preserve">8a-4p f6 </t>
    </r>
    <r>
      <rPr>
        <b/>
        <sz val="11"/>
        <color theme="3" tint="0.499984740745262"/>
        <rFont val="Aptos Narrow"/>
        <family val="2"/>
        <scheme val="minor"/>
      </rPr>
      <t>B@11</t>
    </r>
  </si>
  <si>
    <t>Ro</t>
  </si>
  <si>
    <t>8a-9a f2/ 9a-12 set-up</t>
  </si>
  <si>
    <t>3-7p f6</t>
  </si>
  <si>
    <t>2:30-7:30p f2/ closing</t>
  </si>
  <si>
    <t>1:30-8p f2</t>
  </si>
  <si>
    <t>8a-12p GR CC</t>
  </si>
  <si>
    <t>11a-7p CC  f2</t>
  </si>
  <si>
    <t>9a-6p CC  GR/ 6-7 f6CC</t>
  </si>
  <si>
    <r>
      <rPr>
        <b/>
        <sz val="11"/>
        <color theme="1"/>
        <rFont val="Aptos Narrow"/>
        <family val="2"/>
        <scheme val="minor"/>
      </rPr>
      <t>11a-2 setup/ 2-2:30p f2/ 2:30-3 f6/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3-7p f2/ closing </t>
    </r>
    <r>
      <rPr>
        <b/>
        <sz val="11"/>
        <color theme="7"/>
        <rFont val="Aptos Narrow"/>
        <family val="2"/>
        <scheme val="minor"/>
      </rPr>
      <t>B@3</t>
    </r>
  </si>
  <si>
    <t>9a-2p f6CC</t>
  </si>
  <si>
    <t>7:45a-4:15p f2 CC</t>
  </si>
  <si>
    <t>9a-7p f6</t>
  </si>
  <si>
    <t>10a-2p campus reset w Pablo</t>
  </si>
  <si>
    <r>
      <t xml:space="preserve">8a-7p f6 CC </t>
    </r>
    <r>
      <rPr>
        <b/>
        <sz val="11"/>
        <color theme="7"/>
        <rFont val="Aptos Narrow"/>
        <family val="2"/>
        <scheme val="minor"/>
      </rPr>
      <t>B@2:30</t>
    </r>
  </si>
  <si>
    <t>TR Ground 7:30a-2:30p CC</t>
  </si>
  <si>
    <t>TR w Kaviya 7:30a-2:30p</t>
  </si>
  <si>
    <t>8a-12:30 TR vivi GRCC</t>
  </si>
  <si>
    <t>TR w Kaviya 8a-1p</t>
  </si>
  <si>
    <t>4p-7p f6</t>
  </si>
  <si>
    <t>VAC</t>
  </si>
  <si>
    <t>w fran 80 Bloor 10a-3p</t>
  </si>
  <si>
    <t>9a-6p CC  GR/ 6-7CC f2</t>
  </si>
  <si>
    <t>Wfran 9a-5</t>
  </si>
  <si>
    <t>9a-6p CC  GR/ 6-7CC f6</t>
  </si>
  <si>
    <t>8a-3:30p f2</t>
  </si>
  <si>
    <r>
      <rPr>
        <b/>
        <sz val="11"/>
        <color theme="1"/>
        <rFont val="Aptos Narrow"/>
        <family val="2"/>
        <scheme val="minor"/>
      </rPr>
      <t xml:space="preserve">11a-11:30a f6/ </t>
    </r>
    <r>
      <rPr>
        <b/>
        <sz val="11"/>
        <color rgb="FFFF0000"/>
        <rFont val="Aptos Narrow"/>
        <family val="2"/>
        <scheme val="minor"/>
      </rPr>
      <t xml:space="preserve">11:30-7 GR CC </t>
    </r>
    <r>
      <rPr>
        <b/>
        <sz val="11"/>
        <color theme="7"/>
        <rFont val="Aptos Narrow"/>
        <family val="2"/>
        <scheme val="minor"/>
      </rPr>
      <t>B@2:30</t>
    </r>
  </si>
  <si>
    <t>Iqra</t>
  </si>
  <si>
    <t>8a-6 GROUND</t>
  </si>
  <si>
    <t>New Intern- Levi 1</t>
  </si>
  <si>
    <r>
      <t xml:space="preserve">11a-12 w fran/ </t>
    </r>
    <r>
      <rPr>
        <b/>
        <sz val="11"/>
        <color theme="8"/>
        <rFont val="Aptos Narrow"/>
        <family val="2"/>
        <scheme val="minor"/>
      </rPr>
      <t>12-5:30 w Pablo</t>
    </r>
  </si>
  <si>
    <t>3p-8p w Pablo/ events &amp; closing</t>
  </si>
  <si>
    <t>New Intern - Himanshu 1</t>
  </si>
  <si>
    <t>10a-11a w Fran/ 11a-4:30 w Nabeela</t>
  </si>
  <si>
    <t>8a-1p w Nabeela/ events</t>
  </si>
  <si>
    <r>
      <t xml:space="preserve">Graduate photos 608/ </t>
    </r>
    <r>
      <rPr>
        <b/>
        <sz val="11"/>
        <color theme="7"/>
        <rFont val="Aptos Narrow"/>
        <family val="2"/>
        <scheme val="minor"/>
      </rPr>
      <t xml:space="preserve">McGraw Hill 6B 9a-11a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 xml:space="preserve">HRPA Ground 11a-1p +2A </t>
    </r>
  </si>
  <si>
    <t xml:space="preserve">Graduate photos 608 / LAST DAY OF CLASSES </t>
  </si>
  <si>
    <r>
      <t>Reading week / Registrations/</t>
    </r>
    <r>
      <rPr>
        <b/>
        <sz val="11"/>
        <color theme="7"/>
        <rFont val="Aptos Narrow"/>
        <family val="2"/>
        <scheme val="minor"/>
      </rPr>
      <t>6A 9a-10a AACSB</t>
    </r>
    <r>
      <rPr>
        <b/>
        <sz val="11"/>
        <color theme="1"/>
        <rFont val="Aptos Narrow"/>
        <family val="2"/>
        <scheme val="minor"/>
      </rPr>
      <t xml:space="preserve"> president/ </t>
    </r>
    <r>
      <rPr>
        <b/>
        <sz val="11"/>
        <color rgb="FFFF0000"/>
        <rFont val="Aptos Narrow"/>
        <family val="2"/>
        <scheme val="minor"/>
      </rPr>
      <t xml:space="preserve"> 6A Chris 2-3:30p VIP</t>
    </r>
  </si>
  <si>
    <r>
      <t xml:space="preserve">Graduate photos 608  / </t>
    </r>
    <r>
      <rPr>
        <b/>
        <sz val="11"/>
        <color rgb="FFFF0000"/>
        <rFont val="Aptos Narrow"/>
        <family val="2"/>
        <scheme val="minor"/>
      </rPr>
      <t>Chris-TDSB MR6-B 9a-1p</t>
    </r>
    <r>
      <rPr>
        <b/>
        <sz val="11"/>
        <color theme="1"/>
        <rFont val="Aptos Narrow"/>
        <family val="2"/>
        <scheme val="minor"/>
      </rPr>
      <t>/ Registrations</t>
    </r>
  </si>
  <si>
    <t>Graduate photos 608 / Reading week / Registrations</t>
  </si>
  <si>
    <t xml:space="preserve">Graduate photos 608 / Reading week / </t>
  </si>
  <si>
    <t>Lieu used</t>
  </si>
  <si>
    <t>8a-9p cobs/9-4:30</t>
  </si>
  <si>
    <t>9a-6:30</t>
  </si>
  <si>
    <t>9a-5 offsite</t>
  </si>
  <si>
    <t>9a-5p wfh</t>
  </si>
  <si>
    <t>9a-5pm (CC TR 10a-2:30p)</t>
  </si>
  <si>
    <t>8a-4 EVENTS</t>
  </si>
  <si>
    <r>
      <t>2-2:30 GR/2:30-7:30 f2/ CL</t>
    </r>
    <r>
      <rPr>
        <b/>
        <sz val="11"/>
        <color theme="7"/>
        <rFont val="Aptos Narrow"/>
        <family val="2"/>
        <scheme val="minor"/>
      </rPr>
      <t xml:space="preserve"> B@3:30</t>
    </r>
  </si>
  <si>
    <t>7:30a-12p GR/ 12-12:30 f2</t>
  </si>
  <si>
    <t>8a-3p f6 + help w event</t>
  </si>
  <si>
    <t>7:45a-4:15pm f6 CC</t>
  </si>
  <si>
    <t>7:45a-3:15pm f6 CC/ 3:15-4:15 f2CC</t>
  </si>
  <si>
    <t>8a-2:30 f2</t>
  </si>
  <si>
    <t>ro</t>
  </si>
  <si>
    <t>8a-12:30 f2</t>
  </si>
  <si>
    <t>7:30a-12p GR</t>
  </si>
  <si>
    <t>7:30a-12:30p GR/ 12:30-1 f2/ 1-1:30GR</t>
  </si>
  <si>
    <r>
      <t xml:space="preserve">Mickaela  </t>
    </r>
    <r>
      <rPr>
        <b/>
        <sz val="11"/>
        <color theme="9"/>
        <rFont val="Aptos Narrow"/>
        <family val="2"/>
        <scheme val="minor"/>
      </rPr>
      <t>C</t>
    </r>
  </si>
  <si>
    <t>9a-7p f6CC</t>
  </si>
  <si>
    <t>11a-7p f6CC</t>
  </si>
  <si>
    <t>12:30p-6p GR B@1</t>
  </si>
  <si>
    <t>2-2:30 GR/2:30-7:30 f2/ CLB@3:30</t>
  </si>
  <si>
    <t>8a-1p events</t>
  </si>
  <si>
    <t>2:30-3 GR/3-7:30 f2/ CL</t>
  </si>
  <si>
    <t>8a-4p f6 Cc</t>
  </si>
  <si>
    <t>OPD MID/ BRKS</t>
  </si>
  <si>
    <t>8a-4p f2CC</t>
  </si>
  <si>
    <t>8a-4pm f6 CC</t>
  </si>
  <si>
    <t>11a-7p f6 Cc</t>
  </si>
  <si>
    <t>TR w Kavya 8a-4pm f6CC</t>
  </si>
  <si>
    <r>
      <t xml:space="preserve">12p-6p GROUND CC/ 6-7 f2CC  </t>
    </r>
    <r>
      <rPr>
        <b/>
        <sz val="11"/>
        <color theme="7"/>
        <rFont val="Aptos Narrow"/>
        <family val="2"/>
        <scheme val="minor"/>
      </rPr>
      <t>B@2:30</t>
    </r>
  </si>
  <si>
    <t>9a-10a Validation/ 10a-1:30 CC f2</t>
  </si>
  <si>
    <t>12p-6p GR B@2:30</t>
  </si>
  <si>
    <t>ACHAL</t>
  </si>
  <si>
    <t>TR w Kavya 8a-3:30pm f6CC</t>
  </si>
  <si>
    <t>CC 9a-2p TRCC f6</t>
  </si>
  <si>
    <t>CC TR w Aashima 10a-2:30p</t>
  </si>
  <si>
    <t>Priyanka</t>
  </si>
  <si>
    <t xml:space="preserve">Daria  </t>
  </si>
  <si>
    <r>
      <t>2-2:30 GR/2:30-7:30 f2/ CL</t>
    </r>
    <r>
      <rPr>
        <b/>
        <sz val="11"/>
        <color theme="7"/>
        <rFont val="Aptos Narrow"/>
        <family val="2"/>
        <scheme val="minor"/>
      </rPr>
      <t>B@3:30</t>
    </r>
  </si>
  <si>
    <t>8a-2p EVENTS</t>
  </si>
  <si>
    <t>1:30-7:30 f2/ CL</t>
  </si>
  <si>
    <t xml:space="preserve">Chinnesha </t>
  </si>
  <si>
    <t>9:30a-7p f6CC</t>
  </si>
  <si>
    <t>9a-5p F6 CC</t>
  </si>
  <si>
    <t>12p-6p GR B@2</t>
  </si>
  <si>
    <t>Itohan 7</t>
  </si>
  <si>
    <r>
      <t xml:space="preserve">9a-2:30 w fran/ </t>
    </r>
    <r>
      <rPr>
        <b/>
        <sz val="11"/>
        <color theme="7"/>
        <rFont val="Aptos Narrow"/>
        <family val="2"/>
        <scheme val="minor"/>
      </rPr>
      <t>B@2:30</t>
    </r>
    <r>
      <rPr>
        <b/>
        <sz val="11"/>
        <color theme="8"/>
        <rFont val="Aptos Narrow"/>
        <family val="2"/>
        <scheme val="minor"/>
      </rPr>
      <t>/ 3-4 w fran</t>
    </r>
  </si>
  <si>
    <r>
      <rPr>
        <b/>
        <sz val="11"/>
        <color theme="1"/>
        <rFont val="Aptos Narrow"/>
        <family val="2"/>
        <scheme val="minor"/>
      </rPr>
      <t>8a-9:30 f2</t>
    </r>
    <r>
      <rPr>
        <b/>
        <sz val="11"/>
        <color theme="9"/>
        <rFont val="Aptos Narrow"/>
        <family val="2"/>
        <scheme val="minor"/>
      </rPr>
      <t>/ 9:30a-2:30 CC TR/</t>
    </r>
    <r>
      <rPr>
        <b/>
        <sz val="11"/>
        <color theme="1"/>
        <rFont val="Aptos Narrow"/>
        <family val="2"/>
        <scheme val="minor"/>
      </rPr>
      <t xml:space="preserve"> 2:30-4 help-setup</t>
    </r>
  </si>
  <si>
    <t>Faezah 7</t>
  </si>
  <si>
    <t>8a-9 w event/ 9a-5p w fran</t>
  </si>
  <si>
    <t>8a-10a w Pablo/ 10a-3 w fran</t>
  </si>
  <si>
    <t>Student Initiated event - TBD?/ Meeting scotia- 11:30to12:302A(coffee setup)</t>
  </si>
  <si>
    <r>
      <t xml:space="preserve">NETWORK W THE BEST- DONNY Check: Room 604 -37/Room 601-  33/Room 609 -38/Room 205-35 / </t>
    </r>
    <r>
      <rPr>
        <b/>
        <sz val="8"/>
        <color rgb="FFFF0000"/>
        <rFont val="Aptos Narrow"/>
        <family val="2"/>
        <scheme val="minor"/>
      </rPr>
      <t>Entrpreneurship CC F2</t>
    </r>
  </si>
  <si>
    <t>faculty Meeting 10am- 11:30am rm 211</t>
  </si>
  <si>
    <t>CAPSTONE COMPETITION FLOOR 2</t>
  </si>
  <si>
    <r>
      <t xml:space="preserve">BUSINESS CONSULTANCY COMPETITION Floor 2 / </t>
    </r>
    <r>
      <rPr>
        <b/>
        <sz val="11"/>
        <rFont val="Aptos Narrow"/>
        <family val="2"/>
        <scheme val="minor"/>
      </rPr>
      <t>JuanCa LAST DAY</t>
    </r>
  </si>
  <si>
    <t>GROUND 12-3p STUDENT JAM SESSION</t>
  </si>
  <si>
    <t>9a-10 COBS/ 10a-7p</t>
  </si>
  <si>
    <t>11a-7p</t>
  </si>
  <si>
    <t>9:30a-8:30p</t>
  </si>
  <si>
    <t>10a-9</t>
  </si>
  <si>
    <t>3hrs wfh</t>
  </si>
  <si>
    <t>8:30a-4p</t>
  </si>
  <si>
    <t>12-3 events/setup /3p-7:30p f2/closing</t>
  </si>
  <si>
    <r>
      <t>8a-3p Events/</t>
    </r>
    <r>
      <rPr>
        <b/>
        <sz val="11"/>
        <rFont val="Aptos Narrow"/>
        <family val="2"/>
        <scheme val="minor"/>
      </rPr>
      <t xml:space="preserve"> 3-4 f2/ 4-6 set-up</t>
    </r>
  </si>
  <si>
    <t>8a-4:30pm f6 CC</t>
  </si>
  <si>
    <t>7:45a-12p f6 CC/ 3:30-4:15p f6CC</t>
  </si>
  <si>
    <t>7:45a-3:15p f2</t>
  </si>
  <si>
    <r>
      <t xml:space="preserve">8a-4pm f2  </t>
    </r>
    <r>
      <rPr>
        <sz val="11"/>
        <color theme="7"/>
        <rFont val="Aptos Narrow"/>
        <family val="2"/>
        <scheme val="minor"/>
      </rPr>
      <t>B@12</t>
    </r>
  </si>
  <si>
    <r>
      <t xml:space="preserve">8a-5pm f2  </t>
    </r>
    <r>
      <rPr>
        <sz val="11"/>
        <color theme="7"/>
        <rFont val="Aptos Narrow"/>
        <family val="2"/>
        <scheme val="minor"/>
      </rPr>
      <t>B@12</t>
    </r>
  </si>
  <si>
    <t>7:30a-2p ground</t>
  </si>
  <si>
    <t>8:30a-6p EVENT+PREP</t>
  </si>
  <si>
    <t>7:30a-3:30 GROUND</t>
  </si>
  <si>
    <t>8a-12pf2</t>
  </si>
  <si>
    <r>
      <t xml:space="preserve">12p-6pGR/ 6-7:30p f2/closing </t>
    </r>
    <r>
      <rPr>
        <b/>
        <sz val="11"/>
        <color theme="7"/>
        <rFont val="Aptos Narrow"/>
        <family val="2"/>
        <scheme val="minor"/>
      </rPr>
      <t>B@3</t>
    </r>
  </si>
  <si>
    <t>7:30a-12p Ground/ 12-12:30f2</t>
  </si>
  <si>
    <t>8a-5p f6</t>
  </si>
  <si>
    <t>8:30a-3:30p f2</t>
  </si>
  <si>
    <t>12p-3p f6CC</t>
  </si>
  <si>
    <r>
      <t>Viviana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break</t>
    </r>
  </si>
  <si>
    <t>10a-7:30a f2/ closing</t>
  </si>
  <si>
    <t>2p-6p Ground</t>
  </si>
  <si>
    <t>Anastasia break</t>
  </si>
  <si>
    <t>9a-5  CC f2</t>
  </si>
  <si>
    <r>
      <t>8a-3p CC f6/</t>
    </r>
    <r>
      <rPr>
        <b/>
        <sz val="11"/>
        <color theme="4" tint="0.59999389629810485"/>
        <rFont val="Aptos Narrow"/>
        <family val="2"/>
        <scheme val="minor"/>
      </rPr>
      <t xml:space="preserve"> B@3/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3:30-6p ground</t>
    </r>
  </si>
  <si>
    <t>8a-6p f2 B@12</t>
  </si>
  <si>
    <t>8a-4pm TR CC f6</t>
  </si>
  <si>
    <t>2-2:30 GR/ 2:30-7:30pm closing w Vivi f2</t>
  </si>
  <si>
    <t>TR w Kavya 8a-3p CC</t>
  </si>
  <si>
    <t>TR opening w Daria 7:30a-12:30p</t>
  </si>
  <si>
    <t>8a-4pm TR Opening w Pablo/ Event</t>
  </si>
  <si>
    <r>
      <t xml:space="preserve">8a-12p TR f2/ </t>
    </r>
    <r>
      <rPr>
        <b/>
        <sz val="11"/>
        <color theme="7"/>
        <rFont val="Aptos Narrow"/>
        <family val="2"/>
        <scheme val="minor"/>
      </rPr>
      <t>B@12</t>
    </r>
    <r>
      <rPr>
        <b/>
        <sz val="11"/>
        <color theme="9"/>
        <rFont val="Aptos Narrow"/>
        <family val="2"/>
        <scheme val="minor"/>
      </rPr>
      <t xml:space="preserve"> /</t>
    </r>
    <r>
      <rPr>
        <b/>
        <sz val="11"/>
        <color theme="8"/>
        <rFont val="Aptos Narrow"/>
        <family val="2"/>
        <scheme val="minor"/>
      </rPr>
      <t xml:space="preserve"> 12:30-4 f2 event</t>
    </r>
  </si>
  <si>
    <t>9-12 Scotia event/ b@12/ 12:30-5 w Fran</t>
  </si>
  <si>
    <t>1-4p</t>
  </si>
  <si>
    <t>JuanCa</t>
  </si>
  <si>
    <t>4p-7:30p f2/ closing</t>
  </si>
  <si>
    <t>12p-6p GR</t>
  </si>
  <si>
    <t>Itohan 6</t>
  </si>
  <si>
    <t>10a-6p w fran</t>
  </si>
  <si>
    <t>8:30a-1:30p w fran/ B@1:30 / 2-6 ground</t>
  </si>
  <si>
    <t>Faezah 6</t>
  </si>
  <si>
    <t>10a-1p w fran</t>
  </si>
  <si>
    <t>10a-12p w fran</t>
  </si>
  <si>
    <t>10:30a-2p w fran</t>
  </si>
  <si>
    <t>8:30a-3p w fran</t>
  </si>
  <si>
    <t>Graduate photos MR-6B</t>
  </si>
  <si>
    <t>Graduate photos MR-6B/ EASTER CELEBRATION 11-2PM</t>
  </si>
  <si>
    <r>
      <t xml:space="preserve">9a-11a HUB - NetworkWtheBest / </t>
    </r>
    <r>
      <rPr>
        <b/>
        <sz val="11"/>
        <color theme="1"/>
        <rFont val="Aptos Narrow"/>
        <family val="2"/>
        <scheme val="minor"/>
      </rPr>
      <t>Graduate photos MR-6B</t>
    </r>
  </si>
  <si>
    <t xml:space="preserve">Graduate photos MR-6B / BBLab 9AM-11:30a fac TR 30ppl/  </t>
  </si>
  <si>
    <r>
      <rPr>
        <b/>
        <sz val="9"/>
        <color theme="9"/>
        <rFont val="Aptos Narrow"/>
        <family val="2"/>
        <scheme val="minor"/>
      </rPr>
      <t>Francisco, Marina Last Day</t>
    </r>
    <r>
      <rPr>
        <b/>
        <sz val="9"/>
        <color theme="1" tint="0.14999847407452621"/>
        <rFont val="Aptos Narrow"/>
        <family val="2"/>
        <scheme val="minor"/>
      </rPr>
      <t xml:space="preserve"> / Graduate photos MR-6B</t>
    </r>
  </si>
  <si>
    <t>wfh 8a-1p</t>
  </si>
  <si>
    <t>9:30a-6:30p</t>
  </si>
  <si>
    <t>9a-7 +2hrs wfh</t>
  </si>
  <si>
    <t>10a-7p</t>
  </si>
  <si>
    <t>9-10am help set-up photographers/ 10a-5p inv</t>
  </si>
  <si>
    <t>12p-3 w fran</t>
  </si>
  <si>
    <t>7:30a-12:30 GR/ B@12:30/ 1-1:30 f6</t>
  </si>
  <si>
    <t>Kavya</t>
  </si>
  <si>
    <t>7:45a-3:45p f6</t>
  </si>
  <si>
    <t>7:45a-11:45a f6</t>
  </si>
  <si>
    <r>
      <t xml:space="preserve">7:45a-2:45p f2 </t>
    </r>
    <r>
      <rPr>
        <b/>
        <sz val="11"/>
        <color theme="7"/>
        <rFont val="Aptos Narrow"/>
        <family val="2"/>
        <scheme val="minor"/>
      </rPr>
      <t>B@11</t>
    </r>
  </si>
  <si>
    <t>Taran</t>
  </si>
  <si>
    <t>8a-4pm f2 B@11:30a</t>
  </si>
  <si>
    <t>12:30-6p ground</t>
  </si>
  <si>
    <t xml:space="preserve">Marina </t>
  </si>
  <si>
    <t>10a-11:30a f2/ 11:30-2:30p ground</t>
  </si>
  <si>
    <t>10a-3p f6</t>
  </si>
  <si>
    <t xml:space="preserve">Sagar </t>
  </si>
  <si>
    <t>4p-7:30p f2</t>
  </si>
  <si>
    <t>2:30-7:30 f2/closing</t>
  </si>
  <si>
    <t>11:30a-12p f2/ 12-4:30p f6</t>
  </si>
  <si>
    <t xml:space="preserve">Mickaela </t>
  </si>
  <si>
    <r>
      <t xml:space="preserve">8a-6p f6 </t>
    </r>
    <r>
      <rPr>
        <b/>
        <sz val="11"/>
        <color theme="7"/>
        <rFont val="Aptos Narrow"/>
        <family val="2"/>
        <scheme val="minor"/>
      </rPr>
      <t>CC B@1</t>
    </r>
  </si>
  <si>
    <r>
      <t>Viviana</t>
    </r>
    <r>
      <rPr>
        <b/>
        <sz val="11"/>
        <color theme="9"/>
        <rFont val="Aptos Narrow"/>
        <family val="2"/>
        <scheme val="minor"/>
      </rPr>
      <t xml:space="preserve"> B</t>
    </r>
  </si>
  <si>
    <r>
      <t>8a-7p f6 CC</t>
    </r>
    <r>
      <rPr>
        <sz val="11"/>
        <color theme="7"/>
        <rFont val="Aptos Narrow"/>
        <family val="2"/>
        <scheme val="minor"/>
      </rPr>
      <t xml:space="preserve"> B@1pm</t>
    </r>
  </si>
  <si>
    <r>
      <t>Iqra</t>
    </r>
    <r>
      <rPr>
        <b/>
        <sz val="11"/>
        <color theme="9"/>
        <rFont val="Aptos Narrow"/>
        <family val="2"/>
        <scheme val="minor"/>
      </rPr>
      <t xml:space="preserve"> B</t>
    </r>
  </si>
  <si>
    <t>12:30p-6p ground</t>
  </si>
  <si>
    <t>12p-6p ground</t>
  </si>
  <si>
    <t>2:30p-6p ground</t>
  </si>
  <si>
    <r>
      <t xml:space="preserve">Anastasia </t>
    </r>
    <r>
      <rPr>
        <b/>
        <sz val="11"/>
        <color theme="9"/>
        <rFont val="Aptos Narrow"/>
        <family val="2"/>
        <scheme val="minor"/>
      </rPr>
      <t>B</t>
    </r>
  </si>
  <si>
    <r>
      <t xml:space="preserve">8a-4pm f6 CC </t>
    </r>
    <r>
      <rPr>
        <b/>
        <sz val="11"/>
        <color theme="7"/>
        <rFont val="Aptos Narrow"/>
        <family val="2"/>
        <scheme val="minor"/>
      </rPr>
      <t>B@1</t>
    </r>
    <r>
      <rPr>
        <b/>
        <sz val="11"/>
        <color rgb="FFFF0000"/>
        <rFont val="Aptos Narrow"/>
        <family val="2"/>
        <scheme val="minor"/>
      </rPr>
      <t xml:space="preserve"> / </t>
    </r>
    <r>
      <rPr>
        <b/>
        <sz val="11"/>
        <color theme="1"/>
        <rFont val="Aptos Narrow"/>
        <family val="2"/>
        <scheme val="minor"/>
      </rPr>
      <t>4-6 proj</t>
    </r>
  </si>
  <si>
    <t>11a-7p f2CC</t>
  </si>
  <si>
    <r>
      <t xml:space="preserve">Daria </t>
    </r>
    <r>
      <rPr>
        <b/>
        <sz val="11"/>
        <color theme="9"/>
        <rFont val="Aptos Narrow"/>
        <family val="2"/>
        <scheme val="minor"/>
      </rPr>
      <t>C</t>
    </r>
  </si>
  <si>
    <t>9a-5p inv</t>
  </si>
  <si>
    <t>8a-12p event</t>
  </si>
  <si>
    <t>8a-11a set-up BB event + w fran</t>
  </si>
  <si>
    <t>7:45a-4p f2</t>
  </si>
  <si>
    <t>8a-4pm f2</t>
  </si>
  <si>
    <r>
      <t xml:space="preserve">Chinnesha </t>
    </r>
    <r>
      <rPr>
        <b/>
        <sz val="11"/>
        <color theme="9"/>
        <rFont val="Aptos Narrow"/>
        <family val="2"/>
        <scheme val="minor"/>
      </rPr>
      <t>C</t>
    </r>
  </si>
  <si>
    <t>8a-4p f6 (tr Mick)</t>
  </si>
  <si>
    <t>9a-5pm TR w Kavya, Vivi &amp; Ana CC f6</t>
  </si>
  <si>
    <t>8a-1p TR w Chinni CC</t>
  </si>
  <si>
    <t>7:30a-9:30a TR w Pablo/ 9:30a-12:30p TR w Daria</t>
  </si>
  <si>
    <r>
      <t xml:space="preserve">Francisco </t>
    </r>
    <r>
      <rPr>
        <b/>
        <sz val="11"/>
        <color theme="9"/>
        <rFont val="Aptos Narrow"/>
        <family val="2"/>
        <scheme val="minor"/>
      </rPr>
      <t>C</t>
    </r>
  </si>
  <si>
    <t>7:30a-12:30p ground</t>
  </si>
  <si>
    <t>7:30a-11:30a ground</t>
  </si>
  <si>
    <t>7:30a-12:30p</t>
  </si>
  <si>
    <t>Juan Carlos</t>
  </si>
  <si>
    <t>4p-7:30pm f2</t>
  </si>
  <si>
    <t>Itohan 5</t>
  </si>
  <si>
    <r>
      <t xml:space="preserve">12p-7pm f6 TR CC </t>
    </r>
    <r>
      <rPr>
        <b/>
        <sz val="11"/>
        <color theme="7"/>
        <rFont val="Aptos Narrow"/>
        <family val="2"/>
        <scheme val="minor"/>
      </rPr>
      <t>B@3</t>
    </r>
  </si>
  <si>
    <t>4p-7p TR f6CC</t>
  </si>
  <si>
    <t>1p-7p f6CC TR w Ana</t>
  </si>
  <si>
    <t>Faezah 5</t>
  </si>
  <si>
    <t>9a-5p inv w Daria</t>
  </si>
  <si>
    <t>8a-12p TR CC w Ana</t>
  </si>
  <si>
    <t>8:30a-12p event w Daria + f2</t>
  </si>
  <si>
    <t xml:space="preserve">604 - Vanessa makeup class - check 40 chairs /Amena class 601 - check 34 chairs </t>
  </si>
  <si>
    <t>BLACK CREATOR EVENT (5 to 8pm)</t>
  </si>
  <si>
    <t>6A - Aashima call Ottawa 12:30-4:30p</t>
  </si>
  <si>
    <t>GOOD FRIDAY STAT</t>
  </si>
  <si>
    <r>
      <t xml:space="preserve">Graduate photos </t>
    </r>
    <r>
      <rPr>
        <b/>
        <sz val="18"/>
        <color theme="1"/>
        <rFont val="Aptos Narrow"/>
        <family val="2"/>
        <scheme val="minor"/>
      </rPr>
      <t>setup</t>
    </r>
    <r>
      <rPr>
        <b/>
        <sz val="11"/>
        <color theme="1"/>
        <rFont val="Aptos Narrow"/>
        <family val="2"/>
        <scheme val="minor"/>
      </rPr>
      <t xml:space="preserve"> -6B</t>
    </r>
  </si>
  <si>
    <t>9:15a-8:15p</t>
  </si>
  <si>
    <t>11a-7:30</t>
  </si>
  <si>
    <t>9a-7 vega first</t>
  </si>
  <si>
    <t>2p-5p wfh</t>
  </si>
  <si>
    <t>9a-6</t>
  </si>
  <si>
    <t>1p-9pm event</t>
  </si>
  <si>
    <t>9a-5p WFH</t>
  </si>
  <si>
    <t>9a-5 (TR 12:30-5)</t>
  </si>
  <si>
    <t>2p-7p set-up</t>
  </si>
  <si>
    <t>11a-7p set-up/ event</t>
  </si>
  <si>
    <t>11a-3p w fran</t>
  </si>
  <si>
    <r>
      <t xml:space="preserve">7:45a-4:45p f6 CC </t>
    </r>
    <r>
      <rPr>
        <b/>
        <sz val="11"/>
        <color theme="7"/>
        <rFont val="Aptos Narrow"/>
        <family val="2"/>
        <scheme val="minor"/>
      </rPr>
      <t>B@11:30a</t>
    </r>
  </si>
  <si>
    <t>7:45a-12:15p f6</t>
  </si>
  <si>
    <t>7:45a-3:15p f6</t>
  </si>
  <si>
    <t>2:30p-7:30p f2</t>
  </si>
  <si>
    <t>10a-3p f2</t>
  </si>
  <si>
    <t>12p-7:30p f2/ closing</t>
  </si>
  <si>
    <t>12pm-2 set-up/ 2-2:30 ground/ 2:30-3:30 setup/ B@3:30/ 4-9pm f2 (cover Iqra's break)</t>
  </si>
  <si>
    <t>2-2:30p ground/ 3-7:30 f2/ closing</t>
  </si>
  <si>
    <t>7:45a-12:45p f2</t>
  </si>
  <si>
    <t>8a-12p f6</t>
  </si>
  <si>
    <t>9a-5p f6 CC</t>
  </si>
  <si>
    <t>TR - 6A 12:30p-5p</t>
  </si>
  <si>
    <t>7:45a-4:15p f6CC</t>
  </si>
  <si>
    <t>4pm-9pm EVENT</t>
  </si>
  <si>
    <t xml:space="preserve">8a-4p f6 </t>
  </si>
  <si>
    <t xml:space="preserve">11a-8p f6CC </t>
  </si>
  <si>
    <t>12p-3:30 w fran/ 4p-9pm help w event</t>
  </si>
  <si>
    <r>
      <rPr>
        <sz val="11"/>
        <color theme="8"/>
        <rFont val="Aptos Narrow"/>
        <family val="2"/>
        <scheme val="minor"/>
      </rPr>
      <t>11a-1p w fran</t>
    </r>
    <r>
      <rPr>
        <sz val="11"/>
        <color rgb="FFFF0000"/>
        <rFont val="Aptos Narrow"/>
        <family val="2"/>
        <scheme val="minor"/>
      </rPr>
      <t>/ 1-7p f6CC</t>
    </r>
  </si>
  <si>
    <t>8a-10a f2/ 10a-12p projs</t>
  </si>
  <si>
    <t>11a-7p f6 CC</t>
  </si>
  <si>
    <t>4PM-9PM EVENT</t>
  </si>
  <si>
    <t>4PM-9pmF&amp;B EVENT/ CLOSING</t>
  </si>
  <si>
    <t>4-7:30 f2/ closing</t>
  </si>
  <si>
    <t>MEG (TRAINING)</t>
  </si>
  <si>
    <t>12p-5pm TR w Aashima</t>
  </si>
  <si>
    <t>Itohan 4</t>
  </si>
  <si>
    <t>1p-4 f2/ b@4/ 4:30-9p event f2</t>
  </si>
  <si>
    <t>4-7:30f2/closing TR</t>
  </si>
  <si>
    <t>3:30-7:30p closing TR</t>
  </si>
  <si>
    <t>Faezah 4</t>
  </si>
  <si>
    <t>8a-12p TR w Kavya</t>
  </si>
  <si>
    <t xml:space="preserve">8a-1p f6 TR w Anastasia </t>
  </si>
  <si>
    <t>8a-2:30p TR w Viviana</t>
  </si>
  <si>
    <t xml:space="preserve">3PM-4:30PM FIRE WARDEN TRAINING  </t>
  </si>
  <si>
    <t>Setup - coffee+ cookies 2 people - G floor MR - TAX CLINIC(10 TO 4PM)</t>
  </si>
  <si>
    <t>FIRE DRILL 3-3:30PM</t>
  </si>
  <si>
    <t>9a-4:30p</t>
  </si>
  <si>
    <t>10a-7:30p off site</t>
  </si>
  <si>
    <t>9:30a-6:30pm</t>
  </si>
  <si>
    <t>9a-8pm</t>
  </si>
  <si>
    <t>10a-4 (F-DRILL 3-3:30)</t>
  </si>
  <si>
    <t>9a-5p off site</t>
  </si>
  <si>
    <r>
      <t xml:space="preserve">9a-5 </t>
    </r>
    <r>
      <rPr>
        <b/>
        <sz val="11"/>
        <color rgb="FFFF0000"/>
        <rFont val="Aptos Narrow"/>
        <family val="2"/>
        <scheme val="minor"/>
      </rPr>
      <t>(11a-4pm TR Michaela CC)</t>
    </r>
  </si>
  <si>
    <r>
      <t xml:space="preserve">9a-5 </t>
    </r>
    <r>
      <rPr>
        <b/>
        <sz val="11"/>
        <color theme="9"/>
        <rFont val="Aptos Narrow"/>
        <family val="2"/>
        <scheme val="minor"/>
      </rPr>
      <t>(F-DRILL 3-3:30)</t>
    </r>
  </si>
  <si>
    <r>
      <t>8a-10 f6/10a-2:30p w fran/ B2</t>
    </r>
    <r>
      <rPr>
        <b/>
        <sz val="11"/>
        <color theme="9"/>
        <rFont val="Aptos Narrow"/>
        <family val="2"/>
        <scheme val="minor"/>
      </rPr>
      <t xml:space="preserve">/ 3-5p FW TR </t>
    </r>
  </si>
  <si>
    <t>9a-2p set-up/ projs</t>
  </si>
  <si>
    <t>sick</t>
  </si>
  <si>
    <t>Sick</t>
  </si>
  <si>
    <r>
      <t>7:45a-3:45p f6</t>
    </r>
    <r>
      <rPr>
        <b/>
        <sz val="11"/>
        <color theme="9"/>
        <rFont val="Aptos Narrow"/>
        <family val="2"/>
        <scheme val="minor"/>
      </rPr>
      <t>/ 4-4:30pm TR</t>
    </r>
    <r>
      <rPr>
        <sz val="11"/>
        <color rgb="FFFF0000"/>
        <rFont val="Aptos Narrow"/>
        <family val="2"/>
        <scheme val="minor"/>
      </rPr>
      <t xml:space="preserve">/ </t>
    </r>
    <r>
      <rPr>
        <sz val="11"/>
        <color theme="7"/>
        <rFont val="Aptos Narrow"/>
        <family val="2"/>
        <scheme val="minor"/>
      </rPr>
      <t>B@1</t>
    </r>
  </si>
  <si>
    <t>7:45a-12:15a f6 CC/ 3:30-4p f6CC</t>
  </si>
  <si>
    <t>7:45a-3:15p f6 CC b@12:30</t>
  </si>
  <si>
    <r>
      <t xml:space="preserve">7:45a-3 f6CC/ </t>
    </r>
    <r>
      <rPr>
        <sz val="11"/>
        <color theme="9"/>
        <rFont val="Aptos Narrow"/>
        <family val="2"/>
        <scheme val="minor"/>
      </rPr>
      <t>FD 3-3:45 F6</t>
    </r>
  </si>
  <si>
    <r>
      <t>8a-4:30 f2</t>
    </r>
    <r>
      <rPr>
        <b/>
        <sz val="11"/>
        <color theme="7"/>
        <rFont val="Aptos Narrow"/>
        <family val="2"/>
        <scheme val="minor"/>
      </rPr>
      <t xml:space="preserve"> B@2:30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9"/>
        <rFont val="Aptos Narrow"/>
        <family val="2"/>
        <scheme val="minor"/>
      </rPr>
      <t>(3PM-4:30PM FW TR)</t>
    </r>
  </si>
  <si>
    <r>
      <t>8a-4:30p f2</t>
    </r>
    <r>
      <rPr>
        <b/>
        <sz val="11"/>
        <color theme="7"/>
        <rFont val="Aptos Narrow"/>
        <family val="2"/>
        <scheme val="minor"/>
      </rPr>
      <t xml:space="preserve"> B@1</t>
    </r>
  </si>
  <si>
    <t>2:45p-5:45p Fire Drill + f2</t>
  </si>
  <si>
    <t>10a-2p f6/ 2-2:30p GR/ 2:30-3 f6</t>
  </si>
  <si>
    <t>10a-3p ground</t>
  </si>
  <si>
    <t>10a-3p f2 (leave through stairwell)</t>
  </si>
  <si>
    <t>3pm-7:30pm f2 / closing</t>
  </si>
  <si>
    <t>3p-7:30p f2</t>
  </si>
  <si>
    <t xml:space="preserve">7:30a-11a f2/ B@11/11:30-6pm GROUND (11:30-12:30 ELEV) </t>
  </si>
  <si>
    <t xml:space="preserve">8a-4p f2 </t>
  </si>
  <si>
    <t>2:30p-5:30 TR + clean</t>
  </si>
  <si>
    <t>TR CC f6 8a-12 TR CC</t>
  </si>
  <si>
    <t>TR CC f6 8a-6p</t>
  </si>
  <si>
    <r>
      <rPr>
        <sz val="11"/>
        <color theme="1"/>
        <rFont val="Aptos Narrow"/>
        <family val="2"/>
        <scheme val="minor"/>
      </rPr>
      <t>8a-10:30a w Pablo/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B@10:30/</t>
    </r>
    <r>
      <rPr>
        <sz val="11"/>
        <color rgb="FFFF0000"/>
        <rFont val="Aptos Narrow"/>
        <family val="2"/>
        <scheme val="minor"/>
      </rPr>
      <t xml:space="preserve"> 11a-4p TR w Aashima CC</t>
    </r>
  </si>
  <si>
    <r>
      <rPr>
        <b/>
        <sz val="11"/>
        <color theme="9"/>
        <rFont val="Aptos Narrow"/>
        <family val="2"/>
        <scheme val="minor"/>
      </rPr>
      <t>3p-5p FW TR</t>
    </r>
    <r>
      <rPr>
        <sz val="11"/>
        <color theme="1"/>
        <rFont val="Aptos Narrow"/>
        <family val="2"/>
        <scheme val="minor"/>
      </rPr>
      <t xml:space="preserve">/ 5-6 clean </t>
    </r>
  </si>
  <si>
    <t>7:45a-4:45p f6CC</t>
  </si>
  <si>
    <r>
      <t>12p-7p CC f6</t>
    </r>
    <r>
      <rPr>
        <b/>
        <sz val="11"/>
        <color theme="9"/>
        <rFont val="Aptos Narrow"/>
        <family val="2"/>
        <scheme val="minor"/>
      </rPr>
      <t xml:space="preserve"> (FD 3-3:30 F6)</t>
    </r>
  </si>
  <si>
    <r>
      <t>11a-7p CC f6</t>
    </r>
    <r>
      <rPr>
        <b/>
        <sz val="11"/>
        <color theme="7"/>
        <rFont val="Aptos Narrow"/>
        <family val="2"/>
        <scheme val="minor"/>
      </rPr>
      <t xml:space="preserve"> B@2:30</t>
    </r>
  </si>
  <si>
    <r>
      <rPr>
        <b/>
        <sz val="11"/>
        <rFont val="Aptos Narrow"/>
        <family val="2"/>
        <scheme val="minor"/>
      </rPr>
      <t>Iqra</t>
    </r>
    <r>
      <rPr>
        <b/>
        <sz val="11"/>
        <color theme="9"/>
        <rFont val="Aptos Narrow"/>
        <family val="2"/>
        <scheme val="minor"/>
      </rPr>
      <t xml:space="preserve"> B</t>
    </r>
  </si>
  <si>
    <r>
      <t xml:space="preserve">12:30p-6p ground </t>
    </r>
    <r>
      <rPr>
        <b/>
        <sz val="11"/>
        <color theme="7"/>
        <rFont val="Aptos Narrow"/>
        <family val="2"/>
        <scheme val="minor"/>
      </rPr>
      <t>B@2</t>
    </r>
  </si>
  <si>
    <r>
      <t xml:space="preserve">12:30p-6p ground </t>
    </r>
    <r>
      <rPr>
        <b/>
        <sz val="11"/>
        <color theme="7"/>
        <rFont val="Aptos Narrow"/>
        <family val="2"/>
        <scheme val="minor"/>
      </rPr>
      <t>B@1:30</t>
    </r>
  </si>
  <si>
    <r>
      <t>12:30p-6p ground</t>
    </r>
    <r>
      <rPr>
        <b/>
        <sz val="11"/>
        <color theme="7"/>
        <rFont val="Aptos Narrow"/>
        <family val="2"/>
        <scheme val="minor"/>
      </rPr>
      <t xml:space="preserve"> B@2:30</t>
    </r>
  </si>
  <si>
    <r>
      <t>8a-11:30a f2/</t>
    </r>
    <r>
      <rPr>
        <b/>
        <sz val="11"/>
        <color theme="7"/>
        <rFont val="Aptos Narrow"/>
        <family val="2"/>
        <scheme val="minor"/>
      </rPr>
      <t xml:space="preserve"> B@11:30</t>
    </r>
    <r>
      <rPr>
        <sz val="11"/>
        <rFont val="Aptos Narrow"/>
        <family val="2"/>
        <scheme val="minor"/>
      </rPr>
      <t>/ 12:30p-6p ground</t>
    </r>
    <r>
      <rPr>
        <b/>
        <sz val="11"/>
        <color theme="9"/>
        <rFont val="Aptos Narrow"/>
        <family val="2"/>
        <scheme val="minor"/>
      </rPr>
      <t xml:space="preserve"> (FD 3-3:30 F6)</t>
    </r>
  </si>
  <si>
    <t>10a-3 w fran</t>
  </si>
  <si>
    <t>7:30a-11a f6 (set-up ground first) / w fran</t>
  </si>
  <si>
    <r>
      <rPr>
        <sz val="11"/>
        <color theme="8"/>
        <rFont val="Aptos Narrow"/>
        <family val="2"/>
        <scheme val="minor"/>
      </rPr>
      <t>Projs 9a-3p/</t>
    </r>
    <r>
      <rPr>
        <b/>
        <sz val="11"/>
        <color theme="9"/>
        <rFont val="Aptos Narrow"/>
        <family val="2"/>
        <scheme val="minor"/>
      </rPr>
      <t xml:space="preserve"> FD 3-3:30 F2/</t>
    </r>
    <r>
      <rPr>
        <b/>
        <sz val="11"/>
        <color theme="8"/>
        <rFont val="Aptos Narrow"/>
        <family val="2"/>
        <scheme val="minor"/>
      </rPr>
      <t xml:space="preserve"> </t>
    </r>
    <r>
      <rPr>
        <sz val="11"/>
        <color theme="8"/>
        <rFont val="Aptos Narrow"/>
        <family val="2"/>
        <scheme val="minor"/>
      </rPr>
      <t>3:30-5p w fran</t>
    </r>
  </si>
  <si>
    <t>7:45a-3:15p f6CC</t>
  </si>
  <si>
    <r>
      <t>9a-7p CC f6</t>
    </r>
    <r>
      <rPr>
        <b/>
        <sz val="11"/>
        <color theme="7"/>
        <rFont val="Aptos Narrow"/>
        <family val="2"/>
        <scheme val="minor"/>
      </rPr>
      <t xml:space="preserve"> B@3:30</t>
    </r>
  </si>
  <si>
    <r>
      <t xml:space="preserve">12pm-7p f6 CC </t>
    </r>
    <r>
      <rPr>
        <b/>
        <sz val="11"/>
        <color theme="7"/>
        <rFont val="Aptos Narrow"/>
        <family val="2"/>
        <scheme val="minor"/>
      </rPr>
      <t>B@3:30</t>
    </r>
  </si>
  <si>
    <t>WFH CC 2:45pm-4:45pm</t>
  </si>
  <si>
    <r>
      <t>7:30a-12:30p ground</t>
    </r>
    <r>
      <rPr>
        <b/>
        <sz val="11"/>
        <color theme="8" tint="0.39997558519241921"/>
        <rFont val="Aptos Narrow"/>
        <family val="2"/>
        <scheme val="minor"/>
      </rPr>
      <t xml:space="preserve"> (ELEV 8a-8:45 / 11:15-12:15 )</t>
    </r>
  </si>
  <si>
    <t>2:30p-3GR/ 3-7:30p f2</t>
  </si>
  <si>
    <t>11:30a-7:30p f2 TR</t>
  </si>
  <si>
    <r>
      <rPr>
        <sz val="11"/>
        <color theme="8"/>
        <rFont val="Aptos Narrow"/>
        <family val="2"/>
        <scheme val="minor"/>
      </rPr>
      <t xml:space="preserve"> 9a-3p f2/</t>
    </r>
    <r>
      <rPr>
        <b/>
        <sz val="11"/>
        <color theme="9"/>
        <rFont val="Aptos Narrow"/>
        <family val="2"/>
        <scheme val="minor"/>
      </rPr>
      <t xml:space="preserve"> FD 3-4 F6</t>
    </r>
    <r>
      <rPr>
        <b/>
        <sz val="11"/>
        <color theme="8"/>
        <rFont val="Aptos Narrow"/>
        <family val="2"/>
        <scheme val="minor"/>
      </rPr>
      <t>/ 4-5 f2</t>
    </r>
  </si>
  <si>
    <t>Faezah 3</t>
  </si>
  <si>
    <r>
      <t>10:30a-7:30p f2/ closing</t>
    </r>
    <r>
      <rPr>
        <b/>
        <sz val="11"/>
        <color theme="9"/>
        <rFont val="Aptos Narrow"/>
        <family val="2"/>
        <scheme val="minor"/>
      </rPr>
      <t xml:space="preserve"> (3-4:30p FW TR)</t>
    </r>
  </si>
  <si>
    <t>8a-3p f2 TR</t>
  </si>
  <si>
    <t>St. Patrick Day /11am-1pm/G floor</t>
  </si>
  <si>
    <t>Rock your socks / G floor/11:30am</t>
  </si>
  <si>
    <t>10a-6:45p</t>
  </si>
  <si>
    <t>10a-5:30p</t>
  </si>
  <si>
    <t>9:30a-6:30</t>
  </si>
  <si>
    <t>8:30a-4:30p</t>
  </si>
  <si>
    <t>10a-4p f6</t>
  </si>
  <si>
    <t>10a-2 event</t>
  </si>
  <si>
    <t>4p-7p CC f6</t>
  </si>
  <si>
    <t>12-3p w fran</t>
  </si>
  <si>
    <r>
      <t xml:space="preserve">9a-1p inv/1-1:30 f2/ </t>
    </r>
    <r>
      <rPr>
        <b/>
        <sz val="11"/>
        <color theme="7"/>
        <rFont val="Aptos Narrow"/>
        <family val="2"/>
        <scheme val="minor"/>
      </rPr>
      <t>1:30B</t>
    </r>
    <r>
      <rPr>
        <b/>
        <sz val="11"/>
        <rFont val="Aptos Narrow"/>
        <family val="2"/>
        <scheme val="minor"/>
      </rPr>
      <t>/ 2-2:30 ground</t>
    </r>
  </si>
  <si>
    <r>
      <rPr>
        <sz val="11"/>
        <rFont val="Aptos Narrow"/>
        <family val="2"/>
        <scheme val="minor"/>
      </rPr>
      <t>12p-12:30p f6/12:30-1 ground/ 1p-4f2</t>
    </r>
    <r>
      <rPr>
        <sz val="11"/>
        <color rgb="FFFF0000"/>
        <rFont val="Aptos Narrow"/>
        <family val="2"/>
        <scheme val="minor"/>
      </rPr>
      <t xml:space="preserve">/ </t>
    </r>
    <r>
      <rPr>
        <sz val="11"/>
        <color theme="7"/>
        <rFont val="Aptos Narrow"/>
        <family val="2"/>
        <scheme val="minor"/>
      </rPr>
      <t xml:space="preserve">B@4 / </t>
    </r>
    <r>
      <rPr>
        <sz val="11"/>
        <rFont val="Aptos Narrow"/>
        <family val="2"/>
        <scheme val="minor"/>
      </rPr>
      <t>4:30-6 f2/</t>
    </r>
    <r>
      <rPr>
        <sz val="11"/>
        <color rgb="FFFF0000"/>
        <rFont val="Aptos Narrow"/>
        <family val="2"/>
        <scheme val="minor"/>
      </rPr>
      <t xml:space="preserve"> 6-7 f2CC</t>
    </r>
    <r>
      <rPr>
        <sz val="11"/>
        <rFont val="Aptos Narrow"/>
        <family val="2"/>
        <scheme val="minor"/>
      </rPr>
      <t>/ 7-7:30 closing</t>
    </r>
  </si>
  <si>
    <t>7:45a-3:45a f6</t>
  </si>
  <si>
    <t>7:45a-3:15 f6</t>
  </si>
  <si>
    <r>
      <t xml:space="preserve">8a-4p f2 </t>
    </r>
    <r>
      <rPr>
        <b/>
        <sz val="11"/>
        <color theme="7"/>
        <rFont val="Aptos Narrow"/>
        <family val="2"/>
        <scheme val="minor"/>
      </rPr>
      <t>B@1</t>
    </r>
  </si>
  <si>
    <r>
      <t>8a-6p f2</t>
    </r>
    <r>
      <rPr>
        <b/>
        <sz val="11"/>
        <color theme="7"/>
        <rFont val="Aptos Narrow"/>
        <family val="2"/>
        <scheme val="minor"/>
      </rPr>
      <t xml:space="preserve"> B@2:30</t>
    </r>
  </si>
  <si>
    <t>9-3p f2</t>
  </si>
  <si>
    <r>
      <rPr>
        <b/>
        <sz val="11"/>
        <color theme="9"/>
        <rFont val="Aptos Narrow"/>
        <family val="2"/>
        <scheme val="minor"/>
      </rPr>
      <t>11:30a-12:30p ELEV/</t>
    </r>
    <r>
      <rPr>
        <sz val="11"/>
        <rFont val="Aptos Narrow"/>
        <family val="2"/>
        <scheme val="minor"/>
      </rPr>
      <t xml:space="preserve"> 10:30a-3p ground</t>
    </r>
  </si>
  <si>
    <t>1-6p ground</t>
  </si>
  <si>
    <t>2:30-3 f2/ 3-6 ground/ 6-7:30 f2 closing</t>
  </si>
  <si>
    <t>1:30-2 ground/ 2-7:30 f2 closing</t>
  </si>
  <si>
    <r>
      <t>12:30p-7:30p f2</t>
    </r>
    <r>
      <rPr>
        <sz val="11"/>
        <color theme="7"/>
        <rFont val="Aptos Narrow"/>
        <family val="2"/>
        <scheme val="minor"/>
      </rPr>
      <t xml:space="preserve"> B@3:30</t>
    </r>
  </si>
  <si>
    <t>8a-1p f6 TRAIN w Pablo</t>
  </si>
  <si>
    <t>4-7:30 TR w pablo closing</t>
  </si>
  <si>
    <t>12p-5p f6 Train</t>
  </si>
  <si>
    <t>11a-2:30 f2/B@2:30/ 3p-6p ground</t>
  </si>
  <si>
    <t xml:space="preserve">  </t>
  </si>
  <si>
    <r>
      <rPr>
        <b/>
        <sz val="11"/>
        <color rgb="FFFF0000"/>
        <rFont val="Aptos Narrow"/>
        <family val="2"/>
        <scheme val="minor"/>
      </rPr>
      <t xml:space="preserve">10a-7p CC f6 </t>
    </r>
    <r>
      <rPr>
        <b/>
        <sz val="11"/>
        <color theme="7"/>
        <rFont val="Aptos Narrow"/>
        <family val="2"/>
        <scheme val="minor"/>
      </rPr>
      <t>B@2</t>
    </r>
  </si>
  <si>
    <r>
      <t xml:space="preserve">1p-7p CC f6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</si>
  <si>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8a-6p CC f6 </t>
    </r>
    <r>
      <rPr>
        <sz val="11"/>
        <color theme="7"/>
        <rFont val="Aptos Narrow"/>
        <family val="2"/>
        <scheme val="minor"/>
      </rPr>
      <t>B@12</t>
    </r>
  </si>
  <si>
    <r>
      <rPr>
        <sz val="11"/>
        <color theme="1"/>
        <rFont val="Aptos Narrow"/>
        <family val="2"/>
        <scheme val="minor"/>
      </rPr>
      <t>12:30p-6p ground</t>
    </r>
    <r>
      <rPr>
        <sz val="11"/>
        <color rgb="FFFF0000"/>
        <rFont val="Aptos Narrow"/>
        <family val="2"/>
        <scheme val="minor"/>
      </rPr>
      <t xml:space="preserve">/ </t>
    </r>
    <r>
      <rPr>
        <sz val="11"/>
        <color theme="7"/>
        <rFont val="Aptos Narrow"/>
        <family val="2"/>
        <scheme val="minor"/>
      </rPr>
      <t>B@1:30</t>
    </r>
  </si>
  <si>
    <r>
      <rPr>
        <sz val="11"/>
        <color theme="1"/>
        <rFont val="Aptos Narrow"/>
        <family val="2"/>
        <scheme val="minor"/>
      </rPr>
      <t>12:30p-6p ground</t>
    </r>
    <r>
      <rPr>
        <sz val="11"/>
        <color rgb="FFFF0000"/>
        <rFont val="Aptos Narrow"/>
        <family val="2"/>
        <scheme val="minor"/>
      </rPr>
      <t xml:space="preserve">/ </t>
    </r>
    <r>
      <rPr>
        <sz val="11"/>
        <color theme="7"/>
        <rFont val="Aptos Narrow"/>
        <family val="2"/>
        <scheme val="minor"/>
      </rPr>
      <t>B@2</t>
    </r>
  </si>
  <si>
    <r>
      <t xml:space="preserve">8a-3p f2CC </t>
    </r>
    <r>
      <rPr>
        <sz val="11"/>
        <color theme="7"/>
        <rFont val="Aptos Narrow"/>
        <family val="2"/>
        <scheme val="minor"/>
      </rPr>
      <t>B@1</t>
    </r>
  </si>
  <si>
    <r>
      <rPr>
        <b/>
        <sz val="11"/>
        <color rgb="FFFF0000"/>
        <rFont val="Aptos Narrow"/>
        <family val="2"/>
      </rPr>
      <t xml:space="preserve">10-11:15 Training/ 11:15 to 12:00 G floor/ 12p-7p CC f6 </t>
    </r>
    <r>
      <rPr>
        <b/>
        <sz val="11"/>
        <color rgb="FF0F9ED5"/>
        <rFont val="Aptos Narrow"/>
        <family val="2"/>
      </rPr>
      <t>B@2:30</t>
    </r>
  </si>
  <si>
    <t>10a-5p w fran</t>
  </si>
  <si>
    <t>10a-2p w fran/2-2:30 ground</t>
  </si>
  <si>
    <t>9a-2p inv</t>
  </si>
  <si>
    <r>
      <t xml:space="preserve">7:45a-1pCC f2/ </t>
    </r>
    <r>
      <rPr>
        <sz val="11"/>
        <color theme="7"/>
        <rFont val="Aptos Narrow"/>
        <family val="2"/>
        <scheme val="minor"/>
      </rPr>
      <t>B@1/</t>
    </r>
    <r>
      <rPr>
        <sz val="11"/>
        <color theme="1"/>
        <rFont val="Aptos Narrow"/>
        <family val="2"/>
        <scheme val="minor"/>
      </rPr>
      <t xml:space="preserve"> 1:30-4 setup/ 4-4:45 f2</t>
    </r>
  </si>
  <si>
    <t>11a-4p f6CC</t>
  </si>
  <si>
    <r>
      <t xml:space="preserve">8a-3p f6CC </t>
    </r>
    <r>
      <rPr>
        <sz val="11"/>
        <color theme="7"/>
        <rFont val="Aptos Narrow"/>
        <family val="2"/>
        <scheme val="minor"/>
      </rPr>
      <t>B@1</t>
    </r>
  </si>
  <si>
    <t>7:30a-3p ground (ELEV 8a-8:45 / 11:15-12:15 )</t>
  </si>
  <si>
    <t>7:30a-12:30p ground (ELEV 8a-8:45 / 11:15-12:15 )</t>
  </si>
  <si>
    <t>7:30a-10:30a ground (ELEV 8a-8:45 )</t>
  </si>
  <si>
    <t>4-4:30 quiz w Taran/ 4:30-7:30 f2 closing</t>
  </si>
  <si>
    <t>1p-3p w Adonis/ B@3/ 4p-7:30p f2 closing</t>
  </si>
  <si>
    <t>Itohan 2</t>
  </si>
  <si>
    <t>4p-7:30p TR w Sagar</t>
  </si>
  <si>
    <t>TR inventory 9a-2p</t>
  </si>
  <si>
    <t>8a-3p TR w Daria</t>
  </si>
  <si>
    <t>Faezah</t>
  </si>
  <si>
    <t>8a-1p f2 TR w Taran</t>
  </si>
  <si>
    <t>8a-10a f2/ 10a-12p w pablo</t>
  </si>
  <si>
    <r>
      <t xml:space="preserve">8a-2:30 f6 TR w Kavya </t>
    </r>
    <r>
      <rPr>
        <b/>
        <sz val="11"/>
        <color theme="7"/>
        <rFont val="Aptos Narrow"/>
        <family val="2"/>
        <scheme val="minor"/>
      </rPr>
      <t>B@12:30</t>
    </r>
  </si>
  <si>
    <t>Just for fun celebration/ G floor/ 11 to1 pm</t>
  </si>
  <si>
    <t>Water Coolers removed from 80 Bloor 9a-1pm   / WC's  installed at 655 staff kitchens 1p-4pm</t>
  </si>
  <si>
    <t>Women's day / 11-12:30 GROUND +Lunch</t>
  </si>
  <si>
    <t xml:space="preserve">setup G floor MR's - Shradha Business Cons. </t>
  </si>
  <si>
    <t>Power shutdown midnight 1HR</t>
  </si>
  <si>
    <t>9:30a-6p</t>
  </si>
  <si>
    <t>9-4:30p</t>
  </si>
  <si>
    <t>9a-1p</t>
  </si>
  <si>
    <t>5 hrs wfh on march 8</t>
  </si>
  <si>
    <t>11:30a-3 set-up/ 3-7:30p f2</t>
  </si>
  <si>
    <t>11:30a-4 set-up for Women's day/ 4-7:30p f2</t>
  </si>
  <si>
    <t>12p-4p CC f6</t>
  </si>
  <si>
    <r>
      <t>7:30a-10a ground/ 10-2p event</t>
    </r>
    <r>
      <rPr>
        <sz val="11"/>
        <color theme="9"/>
        <rFont val="Aptos Narrow"/>
        <family val="2"/>
        <scheme val="minor"/>
      </rPr>
      <t xml:space="preserve"> </t>
    </r>
    <r>
      <rPr>
        <b/>
        <sz val="12"/>
        <color theme="9"/>
        <rFont val="Aptos Narrow"/>
        <family val="2"/>
        <scheme val="minor"/>
      </rPr>
      <t>(Elev 8a-8:40)</t>
    </r>
  </si>
  <si>
    <t>10a-2p w Fran</t>
  </si>
  <si>
    <t>7:45a-3p f6/ 3-4 f2</t>
  </si>
  <si>
    <t>7:45a-12p 6f</t>
  </si>
  <si>
    <t>7:45a-1p f6/ B@1/ 1:30-2:30 set-up/ 2:30-3:15 f6</t>
  </si>
  <si>
    <t>12p-4/ 4-5 TR JC f2</t>
  </si>
  <si>
    <t>11a-3pm ground</t>
  </si>
  <si>
    <t>10a-3pm ground</t>
  </si>
  <si>
    <r>
      <t xml:space="preserve">10a-3pm ground </t>
    </r>
    <r>
      <rPr>
        <sz val="11"/>
        <color theme="9"/>
        <rFont val="Aptos Narrow"/>
        <family val="2"/>
        <scheme val="minor"/>
      </rPr>
      <t>(ELEV 11:15-12:15 )</t>
    </r>
  </si>
  <si>
    <t>10a-3p help Daria INV</t>
  </si>
  <si>
    <t>1-4p set-up</t>
  </si>
  <si>
    <r>
      <t xml:space="preserve">11a-7:30p f2 </t>
    </r>
    <r>
      <rPr>
        <b/>
        <sz val="11"/>
        <color theme="7"/>
        <rFont val="Aptos Narrow"/>
        <family val="2"/>
        <scheme val="minor"/>
      </rPr>
      <t>B@2:30p</t>
    </r>
  </si>
  <si>
    <r>
      <t>8a-6p f2</t>
    </r>
    <r>
      <rPr>
        <b/>
        <sz val="11"/>
        <color theme="7"/>
        <rFont val="Aptos Narrow"/>
        <family val="2"/>
        <scheme val="minor"/>
      </rPr>
      <t xml:space="preserve"> B@1</t>
    </r>
  </si>
  <si>
    <t>CCTR w 8a-1p f6</t>
  </si>
  <si>
    <t>CCTR w 8a-12p f6</t>
  </si>
  <si>
    <r>
      <t xml:space="preserve">8a-4p f6CC </t>
    </r>
    <r>
      <rPr>
        <sz val="11"/>
        <color theme="7"/>
        <rFont val="Aptos Narrow"/>
        <family val="2"/>
        <scheme val="minor"/>
      </rPr>
      <t>B@12</t>
    </r>
  </si>
  <si>
    <t>12:30p- 6p ground</t>
  </si>
  <si>
    <t>12:30p- 6p ground B@2</t>
  </si>
  <si>
    <t>1-2:30 f6/2:30-3p f2/3p-6p ground</t>
  </si>
  <si>
    <t>3p-7:30p f2 JC</t>
  </si>
  <si>
    <t>10a-3p w fran</t>
  </si>
  <si>
    <r>
      <t xml:space="preserve">11a-7p f6 CC </t>
    </r>
    <r>
      <rPr>
        <b/>
        <sz val="11"/>
        <color theme="7"/>
        <rFont val="Aptos Narrow"/>
        <family val="2"/>
        <scheme val="minor"/>
      </rPr>
      <t>B@3:30</t>
    </r>
  </si>
  <si>
    <r>
      <t xml:space="preserve">10a-7p f6 CC </t>
    </r>
    <r>
      <rPr>
        <b/>
        <sz val="11"/>
        <color theme="7"/>
        <rFont val="Aptos Narrow"/>
        <family val="2"/>
        <scheme val="minor"/>
      </rPr>
      <t>B@3:30</t>
    </r>
  </si>
  <si>
    <r>
      <t xml:space="preserve">7:30a-12:30p ground </t>
    </r>
    <r>
      <rPr>
        <b/>
        <sz val="11"/>
        <color theme="9"/>
        <rFont val="Aptos Narrow"/>
        <family val="2"/>
        <scheme val="minor"/>
      </rPr>
      <t>(ELEV 8a-8:45 / 11:15-12:15 )</t>
    </r>
  </si>
  <si>
    <t>4p-7:30p f2 TRAIN w Anastasia</t>
  </si>
  <si>
    <t>4p-7:30pm f2/ closing</t>
  </si>
  <si>
    <r>
      <t xml:space="preserve">TR w Anastasia 11a-5:30/B@5:30/ 6-7p f2 closing </t>
    </r>
    <r>
      <rPr>
        <b/>
        <sz val="11"/>
        <color rgb="FFFF0000"/>
        <rFont val="Aptos Narrow"/>
        <family val="2"/>
        <scheme val="minor"/>
      </rPr>
      <t>(cover Sagar's Break @1pm)</t>
    </r>
  </si>
  <si>
    <t>Itohan 1</t>
  </si>
  <si>
    <t>10:30a-11:30w fran/ 11:30-7:30p w Pablo</t>
  </si>
  <si>
    <t>8a-12p TR f2 w Kavya/ 12-3p TRf2 w Taran</t>
  </si>
  <si>
    <t>11:30a-12:30p w fran/ 12:30-7:30p w Pablo</t>
  </si>
  <si>
    <r>
      <t>7:45a-3:45p</t>
    </r>
    <r>
      <rPr>
        <b/>
        <sz val="11"/>
        <color theme="9"/>
        <rFont val="Aptos Narrow"/>
        <family val="2"/>
        <scheme val="minor"/>
      </rPr>
      <t xml:space="preserve"> (ELEV 8a-8:45 / 11:15-12:15 )</t>
    </r>
  </si>
  <si>
    <t>READING WEEK</t>
  </si>
  <si>
    <t>READING WEEK /                    OPS INT Fire drill 10:15-11am f2 desk</t>
  </si>
  <si>
    <t>First Day of Class/ Holi event 4-7 GF</t>
  </si>
  <si>
    <t>Faculty meet : 10to1 /210 + OPS TEAM Celebration 2:30-4pm</t>
  </si>
  <si>
    <t>wfh 9a-5p</t>
  </si>
  <si>
    <t>10a-6:30p</t>
  </si>
  <si>
    <t>wfh 5</t>
  </si>
  <si>
    <t>wfh 9-5</t>
  </si>
  <si>
    <t>1-6pm set-up</t>
  </si>
  <si>
    <r>
      <t>9-7p f6 CC</t>
    </r>
    <r>
      <rPr>
        <b/>
        <sz val="11"/>
        <color theme="7"/>
        <rFont val="Aptos Narrow"/>
        <family val="2"/>
        <scheme val="minor"/>
      </rPr>
      <t xml:space="preserve"> B@1</t>
    </r>
  </si>
  <si>
    <t>7:45a-3:45p f6 CC</t>
  </si>
  <si>
    <t>7:45a-2:45p f6 CC</t>
  </si>
  <si>
    <t>7:45a-4:15p f2</t>
  </si>
  <si>
    <r>
      <t>11a-2 f2</t>
    </r>
    <r>
      <rPr>
        <b/>
        <sz val="11"/>
        <color theme="7"/>
        <rFont val="Aptos Narrow"/>
        <family val="2"/>
        <scheme val="minor"/>
      </rPr>
      <t>/B@2:30</t>
    </r>
    <r>
      <rPr>
        <b/>
        <sz val="11"/>
        <rFont val="Aptos Narrow"/>
        <family val="2"/>
        <scheme val="minor"/>
      </rPr>
      <t>/3-6 ground/ 6-7:30p closing</t>
    </r>
  </si>
  <si>
    <r>
      <rPr>
        <b/>
        <sz val="11"/>
        <color theme="8" tint="0.39997558519241921"/>
        <rFont val="Aptos Narrow"/>
        <family val="2"/>
        <scheme val="minor"/>
      </rPr>
      <t>11a-12p GF ELEV</t>
    </r>
    <r>
      <rPr>
        <b/>
        <sz val="11"/>
        <rFont val="Aptos Narrow"/>
        <family val="2"/>
        <scheme val="minor"/>
      </rPr>
      <t>/ 12-5:30 f2/</t>
    </r>
    <r>
      <rPr>
        <b/>
        <sz val="11"/>
        <color theme="7"/>
        <rFont val="Aptos Narrow"/>
        <family val="2"/>
        <scheme val="minor"/>
      </rPr>
      <t xml:space="preserve"> B@4</t>
    </r>
    <r>
      <rPr>
        <b/>
        <sz val="11"/>
        <rFont val="Aptos Narrow"/>
        <family val="2"/>
        <scheme val="minor"/>
      </rPr>
      <t>/5:30-6 ground/ 6- 7:30 closing</t>
    </r>
  </si>
  <si>
    <t>10a-1p TR f2</t>
  </si>
  <si>
    <t>10:30a-3p ground</t>
  </si>
  <si>
    <r>
      <t xml:space="preserve">10:30a-3p ground </t>
    </r>
    <r>
      <rPr>
        <b/>
        <sz val="11"/>
        <color theme="8" tint="0.39997558519241921"/>
        <rFont val="Aptos Narrow"/>
        <family val="2"/>
        <scheme val="minor"/>
      </rPr>
      <t>11a-12p GF ELEV</t>
    </r>
  </si>
  <si>
    <t>12:30p-5:30p ground</t>
  </si>
  <si>
    <t>7.5.</t>
  </si>
  <si>
    <t>10A-4:30pm f2</t>
  </si>
  <si>
    <r>
      <t xml:space="preserve">8a-6pm </t>
    </r>
    <r>
      <rPr>
        <b/>
        <sz val="11"/>
        <color theme="7"/>
        <rFont val="Aptos Narrow"/>
        <family val="2"/>
        <scheme val="minor"/>
      </rPr>
      <t>B@4:30</t>
    </r>
  </si>
  <si>
    <t>8a-4p GROUND (close ground @4)</t>
  </si>
  <si>
    <r>
      <t xml:space="preserve">8a-5p f2 TR </t>
    </r>
    <r>
      <rPr>
        <b/>
        <sz val="11"/>
        <color theme="8" tint="0.39997558519241921"/>
        <rFont val="Aptos Narrow"/>
        <family val="2"/>
        <scheme val="minor"/>
      </rPr>
      <t xml:space="preserve"> 8a-8:30/ 11:15-12:15 &amp; 2:30-3:30 GF ELEV</t>
    </r>
  </si>
  <si>
    <r>
      <t xml:space="preserve">CC 11a-7p f6 </t>
    </r>
    <r>
      <rPr>
        <b/>
        <sz val="11"/>
        <color theme="7"/>
        <rFont val="Aptos Narrow"/>
        <family val="2"/>
        <scheme val="minor"/>
      </rPr>
      <t>B@3</t>
    </r>
  </si>
  <si>
    <r>
      <rPr>
        <b/>
        <sz val="11"/>
        <color theme="8"/>
        <rFont val="Aptos Narrow"/>
        <family val="2"/>
        <scheme val="minor"/>
      </rPr>
      <t xml:space="preserve"> 10a-11:30 TR/ </t>
    </r>
    <r>
      <rPr>
        <sz val="11"/>
        <color rgb="FFFF0000"/>
        <rFont val="Aptos Narrow"/>
        <family val="2"/>
        <scheme val="minor"/>
      </rPr>
      <t>CC 11:30a-7p f6</t>
    </r>
    <r>
      <rPr>
        <sz val="11"/>
        <color theme="7"/>
        <rFont val="Aptos Narrow"/>
        <family val="2"/>
        <scheme val="minor"/>
      </rPr>
      <t xml:space="preserve"> B@3</t>
    </r>
  </si>
  <si>
    <r>
      <rPr>
        <b/>
        <sz val="11"/>
        <color theme="8" tint="0.39997558519241921"/>
        <rFont val="Aptos Narrow"/>
        <family val="2"/>
        <scheme val="minor"/>
      </rPr>
      <t>11a-12p GF ELEV</t>
    </r>
    <r>
      <rPr>
        <sz val="11"/>
        <color rgb="FFFF0000"/>
        <rFont val="Aptos Narrow"/>
        <family val="2"/>
        <scheme val="minor"/>
      </rPr>
      <t>/ 12-7p f6CC</t>
    </r>
  </si>
  <si>
    <t>1:20p-7:30p ground</t>
  </si>
  <si>
    <t>3p-6p ground</t>
  </si>
  <si>
    <t>2p-7p f6 CC</t>
  </si>
  <si>
    <r>
      <t xml:space="preserve">7:45a-4:45p f6 CC </t>
    </r>
    <r>
      <rPr>
        <sz val="11"/>
        <color theme="7"/>
        <rFont val="Aptos Narrow"/>
        <family val="2"/>
        <scheme val="minor"/>
      </rPr>
      <t>B@2</t>
    </r>
  </si>
  <si>
    <t>CC8a-4p f6</t>
  </si>
  <si>
    <t>11a-7:30p f2/ closer</t>
  </si>
  <si>
    <r>
      <t xml:space="preserve">8a-6p f2 </t>
    </r>
    <r>
      <rPr>
        <b/>
        <sz val="11"/>
        <color theme="7"/>
        <rFont val="Aptos Narrow"/>
        <family val="2"/>
        <scheme val="minor"/>
      </rPr>
      <t>B@1p</t>
    </r>
  </si>
  <si>
    <t>11a-4 set-up/ 4-7 f2/closing</t>
  </si>
  <si>
    <t>9a-5p w fran</t>
  </si>
  <si>
    <t>7:45a-4:15p w fran</t>
  </si>
  <si>
    <t>8a-11a TR f2</t>
  </si>
  <si>
    <t>11-7p f6CC</t>
  </si>
  <si>
    <r>
      <t xml:space="preserve">8a-4p f6 CC </t>
    </r>
    <r>
      <rPr>
        <sz val="11"/>
        <color theme="7"/>
        <rFont val="Aptos Narrow"/>
        <family val="2"/>
        <scheme val="minor"/>
      </rPr>
      <t>B@2</t>
    </r>
  </si>
  <si>
    <r>
      <t xml:space="preserve">7:30a-1p ground/ </t>
    </r>
    <r>
      <rPr>
        <b/>
        <sz val="11"/>
        <color theme="7"/>
        <rFont val="Aptos Narrow"/>
        <family val="2"/>
        <scheme val="minor"/>
      </rPr>
      <t>B@1/</t>
    </r>
    <r>
      <rPr>
        <b/>
        <sz val="11"/>
        <rFont val="Aptos Narrow"/>
        <family val="2"/>
        <scheme val="minor"/>
      </rPr>
      <t xml:space="preserve"> 1:30-2:15 f2 (</t>
    </r>
    <r>
      <rPr>
        <b/>
        <sz val="11"/>
        <color theme="8" tint="0.39997558519241921"/>
        <rFont val="Aptos Narrow"/>
        <family val="2"/>
        <scheme val="minor"/>
      </rPr>
      <t xml:space="preserve"> 8a-8:30/ 11:15-12:15 ELEV GF)</t>
    </r>
  </si>
  <si>
    <r>
      <t xml:space="preserve">7:30a-10:30a ground  </t>
    </r>
    <r>
      <rPr>
        <b/>
        <sz val="11"/>
        <color theme="8" tint="0.39997558519241921"/>
        <rFont val="Aptos Narrow"/>
        <family val="2"/>
        <scheme val="minor"/>
      </rPr>
      <t>8a-8:30 GF ELEV</t>
    </r>
  </si>
  <si>
    <r>
      <t xml:space="preserve">7:30a-12:30p ground </t>
    </r>
    <r>
      <rPr>
        <b/>
        <sz val="11"/>
        <color theme="8" tint="0.39997558519241921"/>
        <rFont val="Aptos Narrow"/>
        <family val="2"/>
        <scheme val="minor"/>
      </rPr>
      <t>8a-8:30 GF ELEV</t>
    </r>
  </si>
  <si>
    <t>4p-7:30p f2 closer</t>
  </si>
  <si>
    <t>New Intern</t>
  </si>
  <si>
    <t>Mother tongue celebration/ 11:30 to 5pm/ G floor</t>
  </si>
  <si>
    <t>Pink shirt day event / 11:00 to 1:00pm/ G floor</t>
  </si>
  <si>
    <t>READING WEEK   RECRUITMENT EVENT f2 9:30a-12/ Lunch 12-1</t>
  </si>
  <si>
    <t>READING WEEK    COMMUNITY FORUM  F2 12:30pm-4:30p</t>
  </si>
  <si>
    <t>READING WEEK /FACULTY EVENT 210 / 9 TO 12 / Sally</t>
  </si>
  <si>
    <t>Reading Feb 25-March 3</t>
  </si>
  <si>
    <t>10a-5:30</t>
  </si>
  <si>
    <t>9a-7pm</t>
  </si>
  <si>
    <t>wfm 9a-2:30</t>
  </si>
  <si>
    <t>Reading April 22-May 5</t>
  </si>
  <si>
    <t>ORIENTATION May 4</t>
  </si>
  <si>
    <r>
      <t xml:space="preserve">7:45a-3:45p f6 </t>
    </r>
    <r>
      <rPr>
        <b/>
        <sz val="11"/>
        <color theme="7"/>
        <rFont val="Aptos Narrow"/>
        <family val="2"/>
        <scheme val="minor"/>
      </rPr>
      <t>B@11:30</t>
    </r>
  </si>
  <si>
    <r>
      <t xml:space="preserve">7:45a-3:45p f6 </t>
    </r>
    <r>
      <rPr>
        <b/>
        <sz val="11"/>
        <color theme="7"/>
        <rFont val="Aptos Narrow"/>
        <family val="2"/>
        <scheme val="minor"/>
      </rPr>
      <t>B@12:30</t>
    </r>
  </si>
  <si>
    <t>7:45p-3:45p CC f6</t>
  </si>
  <si>
    <r>
      <t>7:45p-11aCC f6/</t>
    </r>
    <r>
      <rPr>
        <b/>
        <sz val="11"/>
        <color theme="7"/>
        <rFont val="Aptos Narrow"/>
        <family val="2"/>
        <scheme val="minor"/>
      </rPr>
      <t xml:space="preserve"> B@11</t>
    </r>
    <r>
      <rPr>
        <b/>
        <sz val="11"/>
        <color rgb="FFFF0000"/>
        <rFont val="Aptos Narrow"/>
        <family val="2"/>
        <scheme val="minor"/>
      </rPr>
      <t xml:space="preserve">/ </t>
    </r>
    <r>
      <rPr>
        <b/>
        <sz val="11"/>
        <rFont val="Aptos Narrow"/>
        <family val="2"/>
        <scheme val="minor"/>
      </rPr>
      <t>11:30a-3:45p event</t>
    </r>
  </si>
  <si>
    <t>8a-1p EVENT</t>
  </si>
  <si>
    <t>8a-3p f2 B@12 (set up Ground fl event 10a-11:30am)</t>
  </si>
  <si>
    <t>8a-6p f2/ event</t>
  </si>
  <si>
    <t>11-11:30 f2/ 11:30-3 INVENTORIES/ B@3/ 3:30-7:30 f2</t>
  </si>
  <si>
    <t>10a-3p event</t>
  </si>
  <si>
    <r>
      <t xml:space="preserve">7:30am-4pm </t>
    </r>
    <r>
      <rPr>
        <b/>
        <sz val="11"/>
        <color theme="7"/>
        <rFont val="Aptos Narrow"/>
        <family val="2"/>
        <scheme val="minor"/>
      </rPr>
      <t>B@12</t>
    </r>
    <r>
      <rPr>
        <b/>
        <sz val="11"/>
        <rFont val="Aptos Narrow"/>
        <family val="2"/>
        <scheme val="minor"/>
      </rPr>
      <t xml:space="preserve"> GROUND (close ground at 4pm)</t>
    </r>
  </si>
  <si>
    <t>11a-5p event / 5-7 reset</t>
  </si>
  <si>
    <t>11a-5p event/ 5-7 reset</t>
  </si>
  <si>
    <r>
      <t xml:space="preserve">7:45a-3:45a f2 </t>
    </r>
    <r>
      <rPr>
        <b/>
        <sz val="11"/>
        <color theme="7"/>
        <rFont val="Aptos Narrow"/>
        <family val="2"/>
        <scheme val="minor"/>
      </rPr>
      <t>B@11</t>
    </r>
  </si>
  <si>
    <t>CC 11a-7p f6</t>
  </si>
  <si>
    <t>11a-4p EVENT - manage food F2 network side</t>
  </si>
  <si>
    <t>12p-5pm EVENT - manage food F2 network side</t>
  </si>
  <si>
    <r>
      <t>7:45p-3 CC f6</t>
    </r>
    <r>
      <rPr>
        <b/>
        <sz val="11"/>
        <color theme="7"/>
        <rFont val="Aptos Narrow"/>
        <family val="2"/>
        <scheme val="minor"/>
      </rPr>
      <t xml:space="preserve"> B@1p /</t>
    </r>
    <r>
      <rPr>
        <b/>
        <sz val="11"/>
        <color rgb="FFFF0000"/>
        <rFont val="Aptos Narrow"/>
        <family val="2"/>
        <scheme val="minor"/>
      </rPr>
      <t xml:space="preserve"> 3-3:34f2</t>
    </r>
  </si>
  <si>
    <r>
      <t xml:space="preserve">CC8a-7p f6 </t>
    </r>
    <r>
      <rPr>
        <b/>
        <sz val="11"/>
        <color theme="7"/>
        <rFont val="Aptos Narrow"/>
        <family val="2"/>
        <scheme val="minor"/>
      </rPr>
      <t>(B@12:30p)</t>
    </r>
  </si>
  <si>
    <t>CC 8a-4p f6</t>
  </si>
  <si>
    <t>CC 8a-4p f2</t>
  </si>
  <si>
    <t>CC f6 9a-4p</t>
  </si>
  <si>
    <r>
      <t xml:space="preserve">CC 8a-6p f2 </t>
    </r>
    <r>
      <rPr>
        <b/>
        <sz val="11"/>
        <color theme="7"/>
        <rFont val="Aptos Narrow"/>
        <family val="2"/>
        <scheme val="minor"/>
      </rPr>
      <t>(B@1pm)</t>
    </r>
  </si>
  <si>
    <r>
      <t>11a-11:30a Ground/ 11:30-12 f6/ 12-7p f2</t>
    </r>
    <r>
      <rPr>
        <b/>
        <sz val="11"/>
        <color theme="7"/>
        <rFont val="Aptos Narrow"/>
        <family val="2"/>
        <scheme val="minor"/>
      </rPr>
      <t xml:space="preserve"> B@4</t>
    </r>
  </si>
  <si>
    <t xml:space="preserve">2p-7:30p f2 /set-up for event </t>
  </si>
  <si>
    <t>8a-4 event Welcome Desk</t>
  </si>
  <si>
    <t>9a-5 event</t>
  </si>
  <si>
    <t>10a-3:30p w Fran</t>
  </si>
  <si>
    <t>12p-5p w fran/ B@5/ 5:30-7:30 closing</t>
  </si>
  <si>
    <t>8a-4pm event Welcome Desk</t>
  </si>
  <si>
    <t>7:45a-2:15p f2/ EVENT</t>
  </si>
  <si>
    <t>11a-4p inv</t>
  </si>
  <si>
    <r>
      <t xml:space="preserve">12p-6p set-up &amp; give breaks/ </t>
    </r>
    <r>
      <rPr>
        <sz val="11"/>
        <color rgb="FFFF0000"/>
        <rFont val="Aptos Narrow"/>
        <family val="2"/>
        <scheme val="minor"/>
      </rPr>
      <t>6-7 CC/</t>
    </r>
    <r>
      <rPr>
        <sz val="11"/>
        <rFont val="Aptos Narrow"/>
        <family val="2"/>
        <scheme val="minor"/>
      </rPr>
      <t xml:space="preserve"> 7-30 close </t>
    </r>
    <r>
      <rPr>
        <b/>
        <sz val="11"/>
        <color theme="7"/>
        <rFont val="Aptos Narrow"/>
        <family val="2"/>
        <scheme val="minor"/>
      </rPr>
      <t>B@3:30</t>
    </r>
  </si>
  <si>
    <r>
      <t>CC 11a-7p f6</t>
    </r>
    <r>
      <rPr>
        <b/>
        <sz val="11"/>
        <color theme="7"/>
        <rFont val="Aptos Narrow"/>
        <family val="2"/>
        <scheme val="minor"/>
      </rPr>
      <t xml:space="preserve"> B@3:30</t>
    </r>
  </si>
  <si>
    <r>
      <t>CC 11a-7p f6</t>
    </r>
    <r>
      <rPr>
        <b/>
        <sz val="11"/>
        <color theme="7"/>
        <rFont val="Aptos Narrow"/>
        <family val="2"/>
        <scheme val="minor"/>
      </rPr>
      <t xml:space="preserve"> B@3</t>
    </r>
  </si>
  <si>
    <r>
      <t xml:space="preserve">11:30a-7p f6 CC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</si>
  <si>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7:30a-6p Ground </t>
    </r>
    <r>
      <rPr>
        <b/>
        <sz val="11"/>
        <color theme="7"/>
        <rFont val="Aptos Narrow"/>
        <family val="2"/>
        <scheme val="minor"/>
      </rPr>
      <t>B@11</t>
    </r>
  </si>
  <si>
    <t>7a-6p Ground</t>
  </si>
  <si>
    <t>8a-6p ground</t>
  </si>
  <si>
    <t>Juan Carlos Training</t>
  </si>
  <si>
    <t>4-5 f2/ 5-6:30 set-up/ 6:30-7:30 closing</t>
  </si>
  <si>
    <t>Intern Sara Karimi 7</t>
  </si>
  <si>
    <t>2p-7:30p set-up for event + closing</t>
  </si>
  <si>
    <t>8:30a-1:30p event</t>
  </si>
  <si>
    <t>11a-4p EVENT Last-day</t>
  </si>
  <si>
    <t>Intern Mickaela G 7</t>
  </si>
  <si>
    <t xml:space="preserve">9a-12p set-up event </t>
  </si>
  <si>
    <t xml:space="preserve">8a-6p GROUND </t>
  </si>
  <si>
    <t>FAMILY DAY</t>
  </si>
  <si>
    <r>
      <t>Sysco delivery?  /</t>
    </r>
    <r>
      <rPr>
        <b/>
        <sz val="11"/>
        <color theme="1"/>
        <rFont val="Aptos Narrow"/>
        <family val="2"/>
        <scheme val="minor"/>
      </rPr>
      <t xml:space="preserve"> Black History Month Event: Student Initiated 12p-5p GF</t>
    </r>
  </si>
  <si>
    <r>
      <t xml:space="preserve">IAC meeting- </t>
    </r>
    <r>
      <rPr>
        <b/>
        <sz val="11"/>
        <color rgb="FFFF0000"/>
        <rFont val="Aptos Narrow"/>
        <family val="2"/>
        <scheme val="minor"/>
      </rPr>
      <t>6A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  9a-1p</t>
    </r>
    <r>
      <rPr>
        <sz val="11"/>
        <color theme="1"/>
        <rFont val="Aptos Narrow"/>
        <family val="2"/>
        <scheme val="minor"/>
      </rPr>
      <t xml:space="preserve">              / Ribbon Cutting Ceremony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F2  </t>
    </r>
    <r>
      <rPr>
        <b/>
        <sz val="11"/>
        <rFont val="Aptos Narrow"/>
        <family val="2"/>
        <scheme val="minor"/>
      </rPr>
      <t>1:30p-4p</t>
    </r>
  </si>
  <si>
    <t>Recruitment dry-run 4:30-5p f2   / Student Party 5p-7p GROUND</t>
  </si>
  <si>
    <t>GUARD-ME event 11a-3p Ground</t>
  </si>
  <si>
    <t>Sysco Delivery?</t>
  </si>
  <si>
    <t>9:30a-8p</t>
  </si>
  <si>
    <t>9-6:30</t>
  </si>
  <si>
    <t>10:30-5p</t>
  </si>
  <si>
    <t>wfh 4hrs</t>
  </si>
  <si>
    <t>9a-6:30p</t>
  </si>
  <si>
    <t>8a-6</t>
  </si>
  <si>
    <t>9a-12p WFH</t>
  </si>
  <si>
    <t xml:space="preserve">4p-8:30p set-up </t>
  </si>
  <si>
    <t>8a-4pm set-up/ EVENT f2</t>
  </si>
  <si>
    <r>
      <rPr>
        <sz val="11"/>
        <rFont val="Aptos Narrow"/>
        <family val="2"/>
        <scheme val="minor"/>
      </rPr>
      <t xml:space="preserve">7:30a-11:30 ground/ </t>
    </r>
    <r>
      <rPr>
        <b/>
        <sz val="11"/>
        <color theme="7"/>
        <rFont val="Aptos Narrow"/>
        <family val="2"/>
        <scheme val="minor"/>
      </rPr>
      <t>B@11:30/</t>
    </r>
    <r>
      <rPr>
        <sz val="11"/>
        <rFont val="Aptos Narrow"/>
        <family val="2"/>
        <scheme val="minor"/>
      </rPr>
      <t xml:space="preserve"> 12p-3:30p set-up campus</t>
    </r>
  </si>
  <si>
    <t>12p-5:30 set-up/ 5:30-6 GR/ 6-7:30 closing</t>
  </si>
  <si>
    <r>
      <t xml:space="preserve">7:45a-4p f6 </t>
    </r>
    <r>
      <rPr>
        <b/>
        <sz val="11"/>
        <color theme="7"/>
        <rFont val="Aptos Narrow"/>
        <family val="2"/>
        <scheme val="minor"/>
      </rPr>
      <t>B@11a</t>
    </r>
  </si>
  <si>
    <t>7:45a-12p f6</t>
  </si>
  <si>
    <r>
      <t xml:space="preserve">7:45a-4p f2 </t>
    </r>
    <r>
      <rPr>
        <b/>
        <sz val="11"/>
        <color theme="7"/>
        <rFont val="Aptos Narrow"/>
        <family val="2"/>
        <scheme val="minor"/>
      </rPr>
      <t>B@12:30</t>
    </r>
  </si>
  <si>
    <r>
      <t xml:space="preserve">8a-3p f2/ </t>
    </r>
    <r>
      <rPr>
        <b/>
        <sz val="11"/>
        <color theme="7"/>
        <rFont val="Aptos Narrow"/>
        <family val="2"/>
        <scheme val="minor"/>
      </rPr>
      <t>B@12</t>
    </r>
    <r>
      <rPr>
        <sz val="11"/>
        <rFont val="Aptos Narrow"/>
        <family val="2"/>
        <scheme val="minor"/>
      </rPr>
      <t xml:space="preserve">/ </t>
    </r>
  </si>
  <si>
    <t>8a-6pm f2/ event</t>
  </si>
  <si>
    <r>
      <t xml:space="preserve">12p-7:30p f2 </t>
    </r>
    <r>
      <rPr>
        <b/>
        <sz val="11"/>
        <color theme="7"/>
        <rFont val="Aptos Narrow"/>
        <family val="2"/>
        <scheme val="minor"/>
      </rPr>
      <t>B@2:30</t>
    </r>
  </si>
  <si>
    <t>10:30a-11 GR/ 11-11:30 f6/ 11:30a-3p f2</t>
  </si>
  <si>
    <t>10a-3p Ground</t>
  </si>
  <si>
    <r>
      <t xml:space="preserve">7:30a-8a Ground/ 8a-5:30p F6 </t>
    </r>
    <r>
      <rPr>
        <b/>
        <sz val="11"/>
        <color theme="7"/>
        <rFont val="Aptos Narrow"/>
        <family val="2"/>
        <scheme val="minor"/>
      </rPr>
      <t>B@11</t>
    </r>
  </si>
  <si>
    <t>1-7:30 event Welcome Table f2</t>
  </si>
  <si>
    <t>11a-7p f2/ 7-8:30 help close</t>
  </si>
  <si>
    <t>2:30-3 f2/ 3-6 ground</t>
  </si>
  <si>
    <r>
      <t xml:space="preserve">8a-4p f2 </t>
    </r>
    <r>
      <rPr>
        <b/>
        <sz val="11"/>
        <color theme="7"/>
        <rFont val="Aptos Narrow"/>
        <family val="2"/>
        <scheme val="minor"/>
      </rPr>
      <t>B@11:30a</t>
    </r>
  </si>
  <si>
    <t>3p-6:30 f2/ B@6:30/ 7-7:30 closing/ 7:30-8:30 set-up</t>
  </si>
  <si>
    <t>11a-7 event Welcome Table f2</t>
  </si>
  <si>
    <r>
      <t xml:space="preserve">CC f6 8a-5p </t>
    </r>
    <r>
      <rPr>
        <b/>
        <sz val="11"/>
        <color theme="7"/>
        <rFont val="Aptos Narrow"/>
        <family val="2"/>
        <scheme val="minor"/>
      </rPr>
      <t>B@11a</t>
    </r>
  </si>
  <si>
    <t>11a-3pm f6 desk</t>
  </si>
  <si>
    <r>
      <t xml:space="preserve">CC GROUND 8a-5p </t>
    </r>
    <r>
      <rPr>
        <b/>
        <sz val="11"/>
        <color theme="7"/>
        <rFont val="Aptos Narrow"/>
        <family val="2"/>
        <scheme val="minor"/>
      </rPr>
      <t>B@12:30</t>
    </r>
  </si>
  <si>
    <r>
      <t xml:space="preserve">CC f6 8a-4p </t>
    </r>
    <r>
      <rPr>
        <sz val="11"/>
        <color theme="7"/>
        <rFont val="Aptos Narrow"/>
        <family val="2"/>
        <scheme val="minor"/>
      </rPr>
      <t>B@1</t>
    </r>
  </si>
  <si>
    <t>CC f6 8a-5p</t>
  </si>
  <si>
    <t>11:45a-3:45pm f6 desk</t>
  </si>
  <si>
    <r>
      <t xml:space="preserve">CC f6 11a-7p </t>
    </r>
    <r>
      <rPr>
        <b/>
        <sz val="11"/>
        <color theme="7"/>
        <rFont val="Aptos Narrow"/>
        <family val="2"/>
        <scheme val="minor"/>
      </rPr>
      <t>B@1</t>
    </r>
  </si>
  <si>
    <r>
      <t>CC f6 11a-7p</t>
    </r>
    <r>
      <rPr>
        <sz val="11"/>
        <color theme="7"/>
        <rFont val="Aptos Narrow"/>
        <family val="2"/>
        <scheme val="minor"/>
      </rPr>
      <t xml:space="preserve"> B@2:30</t>
    </r>
  </si>
  <si>
    <r>
      <t>12p-3p f6/ 3-5 cover brks/</t>
    </r>
    <r>
      <rPr>
        <b/>
        <sz val="11"/>
        <color theme="7"/>
        <rFont val="Aptos Narrow"/>
        <family val="2"/>
        <scheme val="minor"/>
      </rPr>
      <t>B@5</t>
    </r>
    <r>
      <rPr>
        <b/>
        <sz val="11"/>
        <rFont val="Aptos Narrow"/>
        <family val="2"/>
        <scheme val="minor"/>
      </rPr>
      <t>/ 5:30-6 Ground/ 6-7:30pm closing</t>
    </r>
  </si>
  <si>
    <r>
      <t xml:space="preserve">11a-11:30a f6/ 11:30-12:30 f2/ 12:30-1:30 ground/ </t>
    </r>
    <r>
      <rPr>
        <b/>
        <sz val="11"/>
        <color theme="7"/>
        <rFont val="Aptos Narrow"/>
        <family val="2"/>
        <scheme val="minor"/>
      </rPr>
      <t>B@1:30</t>
    </r>
    <r>
      <rPr>
        <sz val="11"/>
        <rFont val="Aptos Narrow"/>
        <family val="2"/>
        <scheme val="minor"/>
      </rPr>
      <t>/ 2-7 f2</t>
    </r>
  </si>
  <si>
    <t xml:space="preserve">10a-6p w fran B@4/ </t>
  </si>
  <si>
    <t>7:30a-5:30pm set-up/ EVENT</t>
  </si>
  <si>
    <t>7:45a-11:45a f2</t>
  </si>
  <si>
    <t>10a-3p EVENT</t>
  </si>
  <si>
    <t>CC f6 11a-7p</t>
  </si>
  <si>
    <r>
      <t xml:space="preserve">CC f6 11a-7p </t>
    </r>
    <r>
      <rPr>
        <sz val="11"/>
        <color theme="7"/>
        <rFont val="Aptos Narrow"/>
        <family val="2"/>
        <scheme val="minor"/>
      </rPr>
      <t>B@3:30</t>
    </r>
  </si>
  <si>
    <t>CC f6 9a-7p</t>
  </si>
  <si>
    <r>
      <t xml:space="preserve">7:30a-6p ground </t>
    </r>
    <r>
      <rPr>
        <b/>
        <sz val="11"/>
        <color theme="7"/>
        <rFont val="Aptos Narrow"/>
        <family val="2"/>
        <scheme val="minor"/>
      </rPr>
      <t>B@10:30a</t>
    </r>
  </si>
  <si>
    <t>7:30a-5:30p ground</t>
  </si>
  <si>
    <t>4-7:30 re-set/ Closing</t>
  </si>
  <si>
    <t>4p-8:30 ground/ closing</t>
  </si>
  <si>
    <t>Intern Sara Karimi 6</t>
  </si>
  <si>
    <t>9a-5p w Fran</t>
  </si>
  <si>
    <t>8a-5p eventS f6</t>
  </si>
  <si>
    <t>Intern Mickaela G 6</t>
  </si>
  <si>
    <t>5p-8:30p set-up w Pablo</t>
  </si>
  <si>
    <t>9a-6 w fran event f2</t>
  </si>
  <si>
    <t>4:30p-7:30pm set up/ clean up ground</t>
  </si>
  <si>
    <t>SLT meet 10 to 12/MR 6B 14 PPL</t>
  </si>
  <si>
    <t>211: 30 ppl 9:30 -12/ SLT MR 6B 12p-2p 11ppl</t>
  </si>
  <si>
    <t>Faculty Social - 40 + people / 1to 4pm/ RM 210 &amp; FACULTY ROOM</t>
  </si>
  <si>
    <t>Valentine's Day &amp; Family Day: GAME DAY 3pm-4pm GF</t>
  </si>
  <si>
    <t>10a-7</t>
  </si>
  <si>
    <t>11a-1p/ 7p-12a Lawrence</t>
  </si>
  <si>
    <t>12-12:30 Gr/ 12:30-6:30 f2 B@4p/ 6:30-7:30 closing</t>
  </si>
  <si>
    <t>3p-7p f2/ 7-7:30 closing</t>
  </si>
  <si>
    <r>
      <t xml:space="preserve">8a-4:30 f6 CC </t>
    </r>
    <r>
      <rPr>
        <sz val="11"/>
        <color theme="7"/>
        <rFont val="Aptos Narrow"/>
        <family val="2"/>
        <scheme val="minor"/>
      </rPr>
      <t>B@1p</t>
    </r>
  </si>
  <si>
    <t>8a-12p SET-UP rm 210 &amp; Fac room</t>
  </si>
  <si>
    <t>10a-1pm  TRAINING/ Set up</t>
  </si>
  <si>
    <r>
      <t xml:space="preserve">7:30a-6p f2 </t>
    </r>
    <r>
      <rPr>
        <b/>
        <sz val="11"/>
        <color theme="7"/>
        <rFont val="Aptos Narrow"/>
        <family val="2"/>
        <scheme val="minor"/>
      </rPr>
      <t>B@3:30</t>
    </r>
  </si>
  <si>
    <t>8a-4p f6 B@12p</t>
  </si>
  <si>
    <r>
      <t xml:space="preserve">8a-4p f6 </t>
    </r>
    <r>
      <rPr>
        <b/>
        <sz val="11"/>
        <color theme="7"/>
        <rFont val="Aptos Narrow"/>
        <family val="2"/>
        <scheme val="minor"/>
      </rPr>
      <t>B@11:30</t>
    </r>
  </si>
  <si>
    <r>
      <t xml:space="preserve">8a-4p f6 CC / </t>
    </r>
    <r>
      <rPr>
        <b/>
        <sz val="11"/>
        <color theme="8"/>
        <rFont val="Aptos Narrow"/>
        <family val="2"/>
        <scheme val="minor"/>
      </rPr>
      <t xml:space="preserve">(TR 11a-12p/ </t>
    </r>
    <r>
      <rPr>
        <b/>
        <sz val="11"/>
        <color theme="7"/>
        <rFont val="Aptos Narrow"/>
        <family val="2"/>
        <scheme val="minor"/>
      </rPr>
      <t>B@12:30)</t>
    </r>
  </si>
  <si>
    <t>8a-12 f2/ B@12/ 12:30-3 set-up</t>
  </si>
  <si>
    <r>
      <t xml:space="preserve">8a-6p f2 </t>
    </r>
    <r>
      <rPr>
        <b/>
        <sz val="11"/>
        <color theme="7"/>
        <rFont val="Aptos Narrow"/>
        <family val="2"/>
        <scheme val="minor"/>
      </rPr>
      <t>B@12:30</t>
    </r>
  </si>
  <si>
    <t>12p-12:30 GR/ 12:30-4:30 setup/ B@4:30/ 5:30-6 GR/ 6-7:30 closing</t>
  </si>
  <si>
    <t>11a-11:30a ground/ 11:30a-12p f6/ 12-3 f2</t>
  </si>
  <si>
    <r>
      <t xml:space="preserve">7:30am-4:30 ground/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</si>
  <si>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7:30a-5p ground </t>
    </r>
    <r>
      <rPr>
        <b/>
        <sz val="11"/>
        <color theme="7"/>
        <rFont val="Aptos Narrow"/>
        <family val="2"/>
        <scheme val="minor"/>
      </rPr>
      <t>B@12</t>
    </r>
  </si>
  <si>
    <t>11a-3:30p event set-up</t>
  </si>
  <si>
    <r>
      <rPr>
        <b/>
        <sz val="11"/>
        <color theme="8"/>
        <rFont val="Aptos Narrow"/>
        <family val="2"/>
        <scheme val="minor"/>
      </rPr>
      <t>11a-12 TR</t>
    </r>
    <r>
      <rPr>
        <sz val="11"/>
        <rFont val="Aptos Narrow"/>
        <family val="2"/>
        <scheme val="minor"/>
      </rPr>
      <t>/12p-7p f2</t>
    </r>
  </si>
  <si>
    <t>3:30-4p f2/ 4-6 ground/ 6-7:30p closing</t>
  </si>
  <si>
    <r>
      <t xml:space="preserve">7:30a-6p ground </t>
    </r>
    <r>
      <rPr>
        <b/>
        <sz val="11"/>
        <color theme="7"/>
        <rFont val="Aptos Narrow"/>
        <family val="2"/>
        <scheme val="minor"/>
      </rPr>
      <t>B@11a</t>
    </r>
  </si>
  <si>
    <r>
      <t xml:space="preserve">8a-6p f6 CC </t>
    </r>
    <r>
      <rPr>
        <sz val="11"/>
        <color theme="7"/>
        <rFont val="Aptos Narrow"/>
        <family val="2"/>
        <scheme val="minor"/>
      </rPr>
      <t>B@11:30</t>
    </r>
  </si>
  <si>
    <r>
      <t xml:space="preserve">7:30am-5:30p ground </t>
    </r>
    <r>
      <rPr>
        <b/>
        <sz val="11"/>
        <color theme="7"/>
        <rFont val="Aptos Narrow"/>
        <family val="2"/>
        <scheme val="minor"/>
      </rPr>
      <t>B@12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(11a-12pm TR)</t>
    </r>
  </si>
  <si>
    <r>
      <t>8a-6p f6 CC TR</t>
    </r>
    <r>
      <rPr>
        <sz val="11"/>
        <color theme="7"/>
        <rFont val="Aptos Narrow"/>
        <family val="2"/>
        <scheme val="minor"/>
      </rPr>
      <t xml:space="preserve"> B@1p</t>
    </r>
  </si>
  <si>
    <r>
      <t xml:space="preserve">8a-6p f6 CC TR </t>
    </r>
    <r>
      <rPr>
        <sz val="11"/>
        <color theme="7"/>
        <rFont val="Aptos Narrow"/>
        <family val="2"/>
        <scheme val="minor"/>
      </rPr>
      <t>B@1p</t>
    </r>
  </si>
  <si>
    <t>CC 10a-1p CC f6</t>
  </si>
  <si>
    <r>
      <t xml:space="preserve">11a-7p f6 CC TR </t>
    </r>
    <r>
      <rPr>
        <b/>
        <sz val="11"/>
        <color theme="7"/>
        <rFont val="Aptos Narrow"/>
        <family val="2"/>
        <scheme val="minor"/>
      </rPr>
      <t>B@2</t>
    </r>
  </si>
  <si>
    <r>
      <t xml:space="preserve">CC 11a-3:30f2/ </t>
    </r>
    <r>
      <rPr>
        <sz val="11"/>
        <color theme="7"/>
        <rFont val="Aptos Narrow"/>
        <family val="2"/>
        <scheme val="minor"/>
      </rPr>
      <t xml:space="preserve">B@3:30 </t>
    </r>
    <r>
      <rPr>
        <sz val="11"/>
        <color rgb="FFFF0000"/>
        <rFont val="Aptos Narrow"/>
        <family val="2"/>
        <scheme val="minor"/>
      </rPr>
      <t>/ 4-7 f6</t>
    </r>
  </si>
  <si>
    <t>8a-5p f2</t>
  </si>
  <si>
    <r>
      <t xml:space="preserve">8a-1p f2 </t>
    </r>
    <r>
      <rPr>
        <sz val="11"/>
        <color theme="8"/>
        <rFont val="Aptos Narrow"/>
        <family val="2"/>
        <scheme val="minor"/>
      </rPr>
      <t>(11a-12p TR)</t>
    </r>
  </si>
  <si>
    <t>10a-4:30p w fran</t>
  </si>
  <si>
    <t>10a-12p event/ 12-12:30 GR/ 12:30-1 f2/ 1-5 w fran</t>
  </si>
  <si>
    <t>11a-2p TR/ set-up</t>
  </si>
  <si>
    <r>
      <t xml:space="preserve">8a-6p f6  CC </t>
    </r>
    <r>
      <rPr>
        <sz val="11"/>
        <color theme="7"/>
        <rFont val="Aptos Narrow"/>
        <family val="2"/>
        <scheme val="minor"/>
      </rPr>
      <t>B@1p</t>
    </r>
  </si>
  <si>
    <r>
      <t>11a-7p f6 CC</t>
    </r>
    <r>
      <rPr>
        <b/>
        <sz val="11"/>
        <color theme="7"/>
        <rFont val="Aptos Narrow"/>
        <family val="2"/>
        <scheme val="minor"/>
      </rPr>
      <t xml:space="preserve"> B@4</t>
    </r>
  </si>
  <si>
    <r>
      <t>11a-1p f2/ 1-7p f6 CC</t>
    </r>
    <r>
      <rPr>
        <sz val="11"/>
        <color theme="7"/>
        <rFont val="Aptos Narrow"/>
        <family val="2"/>
        <scheme val="minor"/>
      </rPr>
      <t xml:space="preserve"> B@3</t>
    </r>
  </si>
  <si>
    <r>
      <t xml:space="preserve">7:30a-5p ground </t>
    </r>
    <r>
      <rPr>
        <b/>
        <sz val="11"/>
        <color theme="7"/>
        <rFont val="Aptos Narrow"/>
        <family val="2"/>
        <scheme val="minor"/>
      </rPr>
      <t>B@12p</t>
    </r>
  </si>
  <si>
    <r>
      <t xml:space="preserve">7:30a-6p ground </t>
    </r>
    <r>
      <rPr>
        <b/>
        <sz val="11"/>
        <color theme="7"/>
        <rFont val="Aptos Narrow"/>
        <family val="2"/>
        <scheme val="minor"/>
      </rPr>
      <t>B@12pm</t>
    </r>
  </si>
  <si>
    <t xml:space="preserve">Juan Carlos </t>
  </si>
  <si>
    <t>4-5 f2/5-6 ground/ 6-7:30 closing</t>
  </si>
  <si>
    <t>4-5 f2/5-6 ground/ 6-7:30 closing SOLO</t>
  </si>
  <si>
    <t>4-6:30 f2/ 6:30-7:30 closing SOLO</t>
  </si>
  <si>
    <t>Intern Sara Karimi 5</t>
  </si>
  <si>
    <t>1p-6p ground TR</t>
  </si>
  <si>
    <t>12p-12:30 Ground/ 12:30-6 f2/ event</t>
  </si>
  <si>
    <t>11a-4p ground</t>
  </si>
  <si>
    <t>Intern Mickaela G 5</t>
  </si>
  <si>
    <t>12p-7:30p f2</t>
  </si>
  <si>
    <t>10a-12p event/ 12-3 f2</t>
  </si>
  <si>
    <t>9a-12p set-up w PABLO</t>
  </si>
  <si>
    <t>10am - CC Training 2ndF meeting room</t>
  </si>
  <si>
    <t>Vega SLT meet - setup by 8:30am</t>
  </si>
  <si>
    <t>TV+electrical install</t>
  </si>
  <si>
    <t>9:30a-4p</t>
  </si>
  <si>
    <t>9:30a-7 (Fran NA 12:30-4:30pm)</t>
  </si>
  <si>
    <t>9:30a-7p</t>
  </si>
  <si>
    <t>12p-7:30p f2 closer</t>
  </si>
  <si>
    <t>11:30a-2:30p set-up/ B@2:30/ 3p-7:30p f2</t>
  </si>
  <si>
    <t>12:30p-6p gr B@2</t>
  </si>
  <si>
    <t>9a-2p w electrician</t>
  </si>
  <si>
    <r>
      <t xml:space="preserve">7:45a-3:45p f6 B@11a </t>
    </r>
    <r>
      <rPr>
        <b/>
        <sz val="11"/>
        <color theme="8"/>
        <rFont val="Aptos Narrow"/>
        <family val="2"/>
        <scheme val="minor"/>
      </rPr>
      <t>(10a-11a F2 MeetR)</t>
    </r>
  </si>
  <si>
    <t>7:45a-4:45p f6 B@1:30</t>
  </si>
  <si>
    <t>8a-3p f2 B@11a</t>
  </si>
  <si>
    <t>11a-6:30p f2</t>
  </si>
  <si>
    <t>1-2f6/ 2-3 f2/ 3-6 Ground</t>
  </si>
  <si>
    <t>9:30a-5:30p f2/5:30-6p ground/ 6-7:30 closer</t>
  </si>
  <si>
    <t>7:30a-9:30a f2/ 9:30a-5:30p f6</t>
  </si>
  <si>
    <t>f2 10a-2p</t>
  </si>
  <si>
    <t>2p-2:30 GR/ 2:30-3 f2/ 3-5:30 set-up/B@5:30 6-7:30 closer</t>
  </si>
  <si>
    <t>3p-6p ground/ 6-7:30 closer</t>
  </si>
  <si>
    <t>11:30a-6p f2/ 6p-7:30p closing</t>
  </si>
  <si>
    <t>7:45a -10:45a f6</t>
  </si>
  <si>
    <r>
      <rPr>
        <b/>
        <sz val="11"/>
        <color theme="8"/>
        <rFont val="Aptos Narrow"/>
        <family val="2"/>
        <scheme val="minor"/>
      </rPr>
      <t>10a-11 f2 meetR/</t>
    </r>
    <r>
      <rPr>
        <sz val="11"/>
        <color rgb="FFFF0000"/>
        <rFont val="Aptos Narrow"/>
        <family val="2"/>
        <scheme val="minor"/>
      </rPr>
      <t xml:space="preserve"> 11a-7p f6 CC B@3p</t>
    </r>
  </si>
  <si>
    <t>7:30a-12:30 ground</t>
  </si>
  <si>
    <t>CC  7:45a-3:45p f6</t>
  </si>
  <si>
    <t>7:45a-6:15p f6 CC</t>
  </si>
  <si>
    <t>CC TR 7:45a-3:45p f6</t>
  </si>
  <si>
    <r>
      <t xml:space="preserve">10a-5p w fran / </t>
    </r>
    <r>
      <rPr>
        <b/>
        <sz val="11"/>
        <color theme="8"/>
        <rFont val="Aptos Narrow"/>
        <family val="2"/>
        <scheme val="minor"/>
      </rPr>
      <t xml:space="preserve">(10a-11a F2 MeetR) </t>
    </r>
    <r>
      <rPr>
        <b/>
        <sz val="11"/>
        <color theme="1"/>
        <rFont val="Aptos Narrow"/>
        <family val="2"/>
        <scheme val="minor"/>
      </rPr>
      <t>5:30-6p ground</t>
    </r>
  </si>
  <si>
    <t>10a-5p w fran / 5:30-6p ground</t>
  </si>
  <si>
    <t>9a-7p f6 CC</t>
  </si>
  <si>
    <t>10a-7p f2 CC</t>
  </si>
  <si>
    <r>
      <t xml:space="preserve">7:30a-3:30a f2 </t>
    </r>
    <r>
      <rPr>
        <b/>
        <sz val="11"/>
        <color theme="8"/>
        <rFont val="Aptos Narrow"/>
        <family val="2"/>
        <scheme val="minor"/>
      </rPr>
      <t>(10a-11a F2 MeetR)</t>
    </r>
  </si>
  <si>
    <t>7:45a-3:45p f6 B@11a</t>
  </si>
  <si>
    <t>7:30-9:30a event 607/ 9:30a-11:30 w fran/ B@11:30/ 12-1w aashima/ 1-6:30 f2</t>
  </si>
  <si>
    <t>7:30a-10:30a ground</t>
  </si>
  <si>
    <t>10a-7p f6 CC B@3p</t>
  </si>
  <si>
    <t>11a-7p f6 CC B@3</t>
  </si>
  <si>
    <t>CC  8a-6p f2</t>
  </si>
  <si>
    <t>7:30a-5:30pm ground</t>
  </si>
  <si>
    <t>7:30a-5:30pm ground B@10</t>
  </si>
  <si>
    <t>Juan Carlos TRAINING</t>
  </si>
  <si>
    <t>4p-7:30p TR w Pablo</t>
  </si>
  <si>
    <t>2:30p-7:30pm TR w Taran</t>
  </si>
  <si>
    <t>Intern Sara Karimi 4</t>
  </si>
  <si>
    <t>8a-1p f6 TR Kavya</t>
  </si>
  <si>
    <t>8a-6p TR CC f6</t>
  </si>
  <si>
    <t>Intern Mickaela G 4</t>
  </si>
  <si>
    <t>10a-10:30 GR/ 10:30-11 f6/ 11-11:30 f2/ 11:30-2p f2 elev</t>
  </si>
  <si>
    <t>f2 TR 8a-2:30p</t>
  </si>
  <si>
    <t>CC8a-12p TR w Vivi</t>
  </si>
  <si>
    <t>7:45a-12:45a f2 w Chinni</t>
  </si>
  <si>
    <t>Snow Day</t>
  </si>
  <si>
    <t>Peter Farewell 1-2pm</t>
  </si>
  <si>
    <t>9:30a-7:30p</t>
  </si>
  <si>
    <t>3p-7:30p f2/ closer</t>
  </si>
  <si>
    <r>
      <t>9a-12:30 set-up/ 12:30-6p gr</t>
    </r>
    <r>
      <rPr>
        <b/>
        <sz val="11"/>
        <color theme="7"/>
        <rFont val="Aptos Narrow"/>
        <family val="2"/>
        <scheme val="minor"/>
      </rPr>
      <t xml:space="preserve"> B@2</t>
    </r>
  </si>
  <si>
    <r>
      <t>7:45a-11:45a f2/</t>
    </r>
    <r>
      <rPr>
        <b/>
        <sz val="11"/>
        <color theme="7"/>
        <rFont val="Aptos Narrow"/>
        <family val="2"/>
        <scheme val="minor"/>
      </rPr>
      <t xml:space="preserve"> B@11:45</t>
    </r>
    <r>
      <rPr>
        <sz val="11"/>
        <color theme="1"/>
        <rFont val="Aptos Narrow"/>
        <family val="2"/>
        <scheme val="minor"/>
      </rPr>
      <t>/ 12:15p-3:45 w fran</t>
    </r>
  </si>
  <si>
    <t>10a-3pm set-up vending machines</t>
  </si>
  <si>
    <t>12:00-2:00pm project</t>
  </si>
  <si>
    <r>
      <t xml:space="preserve">7:45a-3:45p f6 </t>
    </r>
    <r>
      <rPr>
        <sz val="11"/>
        <color theme="7"/>
        <rFont val="Aptos Narrow"/>
        <family val="2"/>
        <scheme val="minor"/>
      </rPr>
      <t>B@10:30a</t>
    </r>
  </si>
  <si>
    <t>10a-5:30p w fran</t>
  </si>
  <si>
    <r>
      <t xml:space="preserve">7:30a-1 GR/ </t>
    </r>
    <r>
      <rPr>
        <b/>
        <sz val="11"/>
        <color theme="7"/>
        <rFont val="Aptos Narrow"/>
        <family val="2"/>
        <scheme val="minor"/>
      </rPr>
      <t>B@1/</t>
    </r>
    <r>
      <rPr>
        <b/>
        <sz val="11"/>
        <rFont val="Aptos Narrow"/>
        <family val="2"/>
        <scheme val="minor"/>
      </rPr>
      <t xml:space="preserve"> 1:30-2 f6/ 2-2:30 f2 </t>
    </r>
  </si>
  <si>
    <t>7:45a-3:45p CC B@11a</t>
  </si>
  <si>
    <r>
      <t xml:space="preserve">7:45a-4:45p f6 </t>
    </r>
    <r>
      <rPr>
        <sz val="11"/>
        <color theme="7"/>
        <rFont val="Aptos Narrow"/>
        <family val="2"/>
        <scheme val="minor"/>
      </rPr>
      <t>B@1:30</t>
    </r>
  </si>
  <si>
    <r>
      <t xml:space="preserve">10a-7p f6 CC </t>
    </r>
    <r>
      <rPr>
        <sz val="11"/>
        <color theme="7"/>
        <rFont val="Aptos Narrow"/>
        <family val="2"/>
        <scheme val="minor"/>
      </rPr>
      <t>B@3p</t>
    </r>
  </si>
  <si>
    <r>
      <t xml:space="preserve">11a-7p f6 CC </t>
    </r>
    <r>
      <rPr>
        <sz val="11"/>
        <color theme="7"/>
        <rFont val="Aptos Narrow"/>
        <family val="2"/>
        <scheme val="minor"/>
      </rPr>
      <t>B@3</t>
    </r>
  </si>
  <si>
    <r>
      <t xml:space="preserve">8a-3p f2 </t>
    </r>
    <r>
      <rPr>
        <b/>
        <sz val="11"/>
        <color theme="7"/>
        <rFont val="Aptos Narrow"/>
        <family val="2"/>
        <scheme val="minor"/>
      </rPr>
      <t>B@11a</t>
    </r>
  </si>
  <si>
    <r>
      <t xml:space="preserve">8a-6p f2 </t>
    </r>
    <r>
      <rPr>
        <sz val="11"/>
        <color theme="7"/>
        <rFont val="Aptos Narrow"/>
        <family val="2"/>
        <scheme val="minor"/>
      </rPr>
      <t>B@2:30</t>
    </r>
  </si>
  <si>
    <t>1p-6 Ground</t>
  </si>
  <si>
    <t>RO class</t>
  </si>
  <si>
    <t>CC f6 9:30a-7p</t>
  </si>
  <si>
    <r>
      <t xml:space="preserve">2p-2:30 GR/ 2:30-3 f2/ 3-5:30 f6 / </t>
    </r>
    <r>
      <rPr>
        <sz val="11"/>
        <color theme="7"/>
        <rFont val="Aptos Narrow"/>
        <family val="2"/>
        <scheme val="minor"/>
      </rPr>
      <t>B@5:30</t>
    </r>
    <r>
      <rPr>
        <sz val="11"/>
        <rFont val="Aptos Narrow"/>
        <family val="2"/>
        <scheme val="minor"/>
      </rPr>
      <t xml:space="preserve"> 6-7:30 closer</t>
    </r>
  </si>
  <si>
    <r>
      <t xml:space="preserve">11:30a-6p f2/ 6p-7:30p closing </t>
    </r>
    <r>
      <rPr>
        <b/>
        <sz val="11"/>
        <color theme="7"/>
        <rFont val="Aptos Narrow"/>
        <family val="2"/>
        <scheme val="minor"/>
      </rPr>
      <t>B@2</t>
    </r>
  </si>
  <si>
    <t>3:00- 4:00 proj</t>
  </si>
  <si>
    <t>10a-6:30p w fran</t>
  </si>
  <si>
    <r>
      <t xml:space="preserve">7:30a-5:30pm ground </t>
    </r>
    <r>
      <rPr>
        <b/>
        <sz val="11"/>
        <color theme="7"/>
        <rFont val="Aptos Narrow"/>
        <family val="2"/>
        <scheme val="minor"/>
      </rPr>
      <t>B@10</t>
    </r>
  </si>
  <si>
    <t>Intern Sara Karimi 3</t>
  </si>
  <si>
    <t>8a-6p TR f2</t>
  </si>
  <si>
    <t>10-4p G floor</t>
  </si>
  <si>
    <t>Intern Mickaela G 3</t>
  </si>
  <si>
    <t>7:45a-12:45a f2 TR</t>
  </si>
  <si>
    <r>
      <rPr>
        <sz val="11"/>
        <color rgb="FF000000"/>
        <rFont val="Aptos Narrow"/>
        <family val="2"/>
        <scheme val="minor"/>
      </rPr>
      <t xml:space="preserve">Recruitment meet F&amp;B : 2 to 4  - </t>
    </r>
    <r>
      <rPr>
        <b/>
        <sz val="11"/>
        <color rgb="FF000000"/>
        <rFont val="Aptos Narrow"/>
        <family val="2"/>
        <scheme val="minor"/>
      </rPr>
      <t>6B</t>
    </r>
    <r>
      <rPr>
        <sz val="11"/>
        <color rgb="FF000000"/>
        <rFont val="Aptos Narrow"/>
        <family val="2"/>
        <scheme val="minor"/>
      </rPr>
      <t xml:space="preserve"> 8 ppl </t>
    </r>
  </si>
  <si>
    <t>10a-6:30</t>
  </si>
  <si>
    <t>9a-7p</t>
  </si>
  <si>
    <t>CC 2p-7p f2</t>
  </si>
  <si>
    <t>CC 11a-7p f2</t>
  </si>
  <si>
    <t>CC 10a-6p ground</t>
  </si>
  <si>
    <t>CC 10a-7p Ground B@1:45p</t>
  </si>
  <si>
    <r>
      <t xml:space="preserve">CC 12p-7p f6 </t>
    </r>
    <r>
      <rPr>
        <b/>
        <sz val="11"/>
        <color theme="7"/>
        <rFont val="Aptos Narrow"/>
        <family val="2"/>
        <scheme val="minor"/>
      </rPr>
      <t>B@2</t>
    </r>
  </si>
  <si>
    <r>
      <t xml:space="preserve">11a-1:30p w fran/ </t>
    </r>
    <r>
      <rPr>
        <b/>
        <sz val="11"/>
        <color theme="7"/>
        <rFont val="Aptos Narrow"/>
        <family val="2"/>
        <scheme val="minor"/>
      </rPr>
      <t>B@1:30</t>
    </r>
    <r>
      <rPr>
        <b/>
        <sz val="11"/>
        <color theme="1"/>
        <rFont val="Aptos Narrow"/>
        <family val="2"/>
        <scheme val="minor"/>
      </rPr>
      <t>/ 2p-7p f2</t>
    </r>
  </si>
  <si>
    <t>10:30a-2:30p help fran/ B@2:30/ 3-6p f2</t>
  </si>
  <si>
    <t>11a-7p f2</t>
  </si>
  <si>
    <r>
      <t>CC 12p-7p f6</t>
    </r>
    <r>
      <rPr>
        <b/>
        <sz val="11"/>
        <color theme="7"/>
        <rFont val="Aptos Narrow"/>
        <family val="2"/>
        <scheme val="minor"/>
      </rPr>
      <t xml:space="preserve"> B@4</t>
    </r>
  </si>
  <si>
    <r>
      <t xml:space="preserve">CC 9a-7p f6 </t>
    </r>
    <r>
      <rPr>
        <sz val="11"/>
        <color theme="7"/>
        <rFont val="Aptos Narrow"/>
        <family val="2"/>
        <scheme val="minor"/>
      </rPr>
      <t>B@2</t>
    </r>
  </si>
  <si>
    <r>
      <t>CC 7:45a-3:15p f6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</t>
    </r>
  </si>
  <si>
    <t>7:45a-3:45p f2</t>
  </si>
  <si>
    <t>8a-1p f6</t>
  </si>
  <si>
    <t>10a-3p help Fran</t>
  </si>
  <si>
    <t>7:45a-11:45a f6 CC</t>
  </si>
  <si>
    <t>7:30a-10a where needed 10a-4:30p f6</t>
  </si>
  <si>
    <r>
      <t xml:space="preserve">CC 12p-7p f6 </t>
    </r>
    <r>
      <rPr>
        <sz val="11"/>
        <color theme="7"/>
        <rFont val="Aptos Narrow"/>
        <family val="2"/>
        <scheme val="minor"/>
      </rPr>
      <t>B@3</t>
    </r>
  </si>
  <si>
    <r>
      <t>CC 11a-2:30 f6 /</t>
    </r>
    <r>
      <rPr>
        <b/>
        <sz val="11"/>
        <color theme="7"/>
        <rFont val="Aptos Narrow"/>
        <family val="2"/>
        <scheme val="minor"/>
      </rPr>
      <t>B@2:30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3-6p Ground</t>
    </r>
  </si>
  <si>
    <r>
      <t xml:space="preserve">CC 8a-4p f6 </t>
    </r>
    <r>
      <rPr>
        <sz val="11"/>
        <color theme="7"/>
        <rFont val="Aptos Narrow"/>
        <family val="2"/>
        <scheme val="minor"/>
      </rPr>
      <t>B@1</t>
    </r>
  </si>
  <si>
    <r>
      <t xml:space="preserve">8a-4:30 f6 </t>
    </r>
    <r>
      <rPr>
        <b/>
        <sz val="11"/>
        <color theme="7"/>
        <rFont val="Aptos Narrow"/>
        <family val="2"/>
      </rPr>
      <t>B@1:30</t>
    </r>
  </si>
  <si>
    <t>7:30a-4:30p Ground</t>
  </si>
  <si>
    <t>7:30a-10a Ground/ 10-12:30 help where needed</t>
  </si>
  <si>
    <t>7:30a-10a Ground/ 10-11:30 help where needed</t>
  </si>
  <si>
    <r>
      <t xml:space="preserve">CC 7:45a-3:45p f6 </t>
    </r>
    <r>
      <rPr>
        <b/>
        <sz val="11"/>
        <color theme="7"/>
        <rFont val="Aptos Narrow"/>
        <family val="2"/>
        <scheme val="minor"/>
      </rPr>
      <t>B@1</t>
    </r>
  </si>
  <si>
    <r>
      <t xml:space="preserve">CC 8a-11:30a f6 </t>
    </r>
    <r>
      <rPr>
        <b/>
        <sz val="11"/>
        <color theme="7"/>
        <rFont val="Aptos Narrow"/>
        <family val="2"/>
        <scheme val="minor"/>
      </rPr>
      <t>B@11:30/</t>
    </r>
    <r>
      <rPr>
        <b/>
        <sz val="11"/>
        <rFont val="Aptos Narrow"/>
        <family val="2"/>
        <scheme val="minor"/>
      </rPr>
      <t>12-4p f6</t>
    </r>
  </si>
  <si>
    <r>
      <rPr>
        <b/>
        <sz val="11"/>
        <color rgb="FFFF0000"/>
        <rFont val="Aptos Narrow"/>
        <family val="2"/>
      </rPr>
      <t xml:space="preserve">7:45a-4:15p f6 CC </t>
    </r>
    <r>
      <rPr>
        <b/>
        <sz val="11"/>
        <color rgb="FF0F9ED5"/>
        <rFont val="Aptos Narrow"/>
        <family val="2"/>
      </rPr>
      <t>B@12p</t>
    </r>
  </si>
  <si>
    <t>7:45a-11:45a f2 CC</t>
  </si>
  <si>
    <t>12:30p-4p set-up/give breaks/ 4:30-6Gr / 6-7:30p closing</t>
  </si>
  <si>
    <t>12:30p-3p set-up/give breaks/ 3-6 ground/ 6-7:30p closing</t>
  </si>
  <si>
    <t>4-6 f2/ 6-7:30 closing</t>
  </si>
  <si>
    <t>12:30p-4p set-up/give breaks/ 430-6 Gr/  6-7:30p closing</t>
  </si>
  <si>
    <t>1p-7p f2</t>
  </si>
  <si>
    <t>2p-7p f2</t>
  </si>
  <si>
    <t>8:30a-5p f6</t>
  </si>
  <si>
    <t>10a- 12:30p where needed/ 12:30-6 ground 6-7:30p closing</t>
  </si>
  <si>
    <t>7:30a-8a Ground/ 8-12:30p f2</t>
  </si>
  <si>
    <t>Intern Sara Karimi wk2</t>
  </si>
  <si>
    <t>12:30p-7:30pm w Pablo</t>
  </si>
  <si>
    <t>11:30a-4p tbd set-up</t>
  </si>
  <si>
    <t>Intern Mickaela G wk2</t>
  </si>
  <si>
    <t>7:45a-11:45a w Daria f6</t>
  </si>
  <si>
    <t>9:30a-10a f6 w Chinni/ 10a-2:30p f2 w Anastasia</t>
  </si>
  <si>
    <r>
      <t xml:space="preserve">FINISH ALL set-up/ </t>
    </r>
    <r>
      <rPr>
        <b/>
        <sz val="11"/>
        <color rgb="FFFF0000"/>
        <rFont val="Aptos Narrow"/>
        <family val="2"/>
        <scheme val="minor"/>
      </rPr>
      <t>CC +VEGA TRAINING 2-3p</t>
    </r>
    <r>
      <rPr>
        <sz val="11"/>
        <color theme="1"/>
        <rFont val="Aptos Narrow"/>
        <family val="2"/>
        <scheme val="minor"/>
      </rPr>
      <t>/ Adonis 8a-12 Vega/ 1-4 IBU</t>
    </r>
  </si>
  <si>
    <t>TEAM Lunch 1p-3pm + cake</t>
  </si>
  <si>
    <t>Meeting 6 A - SALLY (9TO12)</t>
  </si>
  <si>
    <r>
      <rPr>
        <sz val="11"/>
        <color rgb="FF000000"/>
        <rFont val="Aptos Narrow"/>
        <family val="2"/>
        <scheme val="minor"/>
      </rPr>
      <t xml:space="preserve">Adonis help w President's office /Meeting Recruit. </t>
    </r>
    <r>
      <rPr>
        <b/>
        <sz val="11"/>
        <color rgb="FF000000"/>
        <rFont val="Aptos Narrow"/>
        <family val="2"/>
        <scheme val="minor"/>
      </rPr>
      <t>Gr. A</t>
    </r>
    <r>
      <rPr>
        <sz val="11"/>
        <color rgb="FF000000"/>
        <rFont val="Aptos Narrow"/>
        <family val="2"/>
        <scheme val="minor"/>
      </rPr>
      <t>/2 to 4 (5 ppl)</t>
    </r>
  </si>
  <si>
    <t>sick day</t>
  </si>
  <si>
    <t>9:30-9pm + 1hr wfh</t>
  </si>
  <si>
    <t>5:30a-8:30</t>
  </si>
  <si>
    <r>
      <t>9a-5</t>
    </r>
    <r>
      <rPr>
        <sz val="11"/>
        <color theme="9"/>
        <rFont val="Aptos Narrow"/>
        <family val="2"/>
        <scheme val="minor"/>
      </rPr>
      <t xml:space="preserve"> (TR 2-3p)</t>
    </r>
  </si>
  <si>
    <t>wfh</t>
  </si>
  <si>
    <t>Osmaro last day</t>
  </si>
  <si>
    <r>
      <t xml:space="preserve">8a-4p f2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</si>
  <si>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7:45a-1:30Pf6/ B@1:30 / </t>
    </r>
    <r>
      <rPr>
        <b/>
        <sz val="11"/>
        <color theme="9"/>
        <rFont val="Aptos Narrow"/>
        <family val="2"/>
        <scheme val="minor"/>
      </rPr>
      <t>TR 2-3:15</t>
    </r>
  </si>
  <si>
    <t>8a-2p f6/2-5w fran</t>
  </si>
  <si>
    <t>9a-5p f6</t>
  </si>
  <si>
    <t>7:30a- 8 G/ 8a-12p f2/ 3-4:30p ground</t>
  </si>
  <si>
    <r>
      <t xml:space="preserve">7:30a- 10a G/ 10a-11:30 set-up/ </t>
    </r>
    <r>
      <rPr>
        <b/>
        <sz val="11"/>
        <color theme="7"/>
        <rFont val="Aptos Narrow"/>
        <family val="2"/>
        <scheme val="minor"/>
      </rPr>
      <t>B@11:30</t>
    </r>
    <r>
      <rPr>
        <b/>
        <sz val="11"/>
        <rFont val="Aptos Narrow"/>
        <family val="2"/>
        <scheme val="minor"/>
      </rPr>
      <t>/ 12-1 f6/ 1-1:30f2</t>
    </r>
  </si>
  <si>
    <r>
      <t xml:space="preserve"> 1-2 set-up/</t>
    </r>
    <r>
      <rPr>
        <b/>
        <sz val="11"/>
        <color theme="9"/>
        <rFont val="Aptos Narrow"/>
        <family val="2"/>
        <scheme val="minor"/>
      </rPr>
      <t xml:space="preserve"> 2-3 TR</t>
    </r>
    <r>
      <rPr>
        <b/>
        <sz val="11"/>
        <rFont val="Aptos Narrow"/>
        <family val="2"/>
        <scheme val="minor"/>
      </rPr>
      <t xml:space="preserve">/ 3-5 set-up/ 5-6 Gr/ 6-8 close </t>
    </r>
    <r>
      <rPr>
        <b/>
        <sz val="11"/>
        <color theme="7"/>
        <rFont val="Aptos Narrow"/>
        <family val="2"/>
        <scheme val="minor"/>
      </rPr>
      <t>B@6</t>
    </r>
  </si>
  <si>
    <t>11a-1pm set-up/3-6 ground/ 6-7:30 closer</t>
  </si>
  <si>
    <r>
      <rPr>
        <sz val="11"/>
        <rFont val="Aptos Narrow"/>
        <family val="2"/>
        <scheme val="minor"/>
      </rPr>
      <t xml:space="preserve">12p-12:30 G/ 12:30-1 f6 / 1-1:30 f2/ </t>
    </r>
    <r>
      <rPr>
        <b/>
        <sz val="11"/>
        <rFont val="Aptos Narrow"/>
        <family val="2"/>
        <scheme val="minor"/>
      </rPr>
      <t>1:30-3 set-up/</t>
    </r>
    <r>
      <rPr>
        <b/>
        <sz val="11"/>
        <color theme="7"/>
        <rFont val="Aptos Narrow"/>
        <family val="2"/>
        <scheme val="minor"/>
      </rPr>
      <t xml:space="preserve"> B@3/</t>
    </r>
    <r>
      <rPr>
        <sz val="11"/>
        <rFont val="Aptos Narrow"/>
        <family val="2"/>
        <scheme val="minor"/>
      </rPr>
      <t xml:space="preserve"> 3:30-6G/ 6-7:30 close</t>
    </r>
  </si>
  <si>
    <t>12p-3p where needed/ 3p-6p G/ 6-7:30 closer</t>
  </si>
  <si>
    <t>7:30a-8a Ground/ 8a-5:30 f2</t>
  </si>
  <si>
    <r>
      <t>CC 7:45a-1:30p f2/</t>
    </r>
    <r>
      <rPr>
        <b/>
        <sz val="11"/>
        <color theme="7"/>
        <rFont val="Aptos Narrow"/>
        <family val="2"/>
        <scheme val="minor"/>
      </rPr>
      <t xml:space="preserve"> B@1:30</t>
    </r>
    <r>
      <rPr>
        <sz val="11"/>
        <color rgb="FFFF0000"/>
        <rFont val="Aptos Narrow"/>
        <family val="2"/>
        <scheme val="minor"/>
      </rPr>
      <t xml:space="preserve"> / </t>
    </r>
    <r>
      <rPr>
        <b/>
        <sz val="11"/>
        <color theme="9"/>
        <rFont val="Aptos Narrow"/>
        <family val="2"/>
        <scheme val="minor"/>
      </rPr>
      <t>TR 2-3:15p/</t>
    </r>
    <r>
      <rPr>
        <sz val="11"/>
        <color rgb="FFFF0000"/>
        <rFont val="Aptos Narrow"/>
        <family val="2"/>
        <scheme val="minor"/>
      </rPr>
      <t xml:space="preserve"> </t>
    </r>
  </si>
  <si>
    <t>CC 7:45a- 2p f6 / 2-3:45 team Lunch</t>
  </si>
  <si>
    <t>CC f6 7:45a-4:15p</t>
  </si>
  <si>
    <t>CC f6 7:45a-11:45a f6 WFH</t>
  </si>
  <si>
    <r>
      <t>CC f6 7:45a-2:15p</t>
    </r>
    <r>
      <rPr>
        <sz val="11"/>
        <color theme="7"/>
        <rFont val="Aptos Narrow"/>
        <family val="2"/>
      </rPr>
      <t xml:space="preserve"> B@12</t>
    </r>
  </si>
  <si>
    <r>
      <rPr>
        <b/>
        <sz val="11"/>
        <color theme="9"/>
        <rFont val="Aptos Narrow"/>
        <family val="2"/>
        <scheme val="minor"/>
      </rPr>
      <t>2p-3p Training</t>
    </r>
    <r>
      <rPr>
        <sz val="11"/>
        <color rgb="FFFF0000"/>
        <rFont val="Aptos Narrow"/>
        <family val="2"/>
        <scheme val="minor"/>
      </rPr>
      <t>/ 3-7p CC f6</t>
    </r>
  </si>
  <si>
    <r>
      <t xml:space="preserve">CCf2 8a-11 </t>
    </r>
    <r>
      <rPr>
        <b/>
        <sz val="11"/>
        <rFont val="Aptos Narrow"/>
        <family val="2"/>
      </rPr>
      <t>no brk</t>
    </r>
  </si>
  <si>
    <r>
      <t>CC f2 9:30a-4:30p/</t>
    </r>
    <r>
      <rPr>
        <sz val="11"/>
        <rFont val="Aptos Narrow"/>
        <family val="2"/>
      </rPr>
      <t xml:space="preserve"> f2</t>
    </r>
    <r>
      <rPr>
        <sz val="11"/>
        <color rgb="FFFF0000"/>
        <rFont val="Aptos Narrow"/>
        <family val="2"/>
      </rPr>
      <t xml:space="preserve"> </t>
    </r>
    <r>
      <rPr>
        <sz val="11"/>
        <rFont val="Aptos Narrow"/>
        <family val="2"/>
      </rPr>
      <t>4:30-6:30p</t>
    </r>
  </si>
  <si>
    <r>
      <t>CC f6 8a-6p</t>
    </r>
    <r>
      <rPr>
        <sz val="11"/>
        <color theme="7"/>
        <rFont val="Aptos Narrow"/>
        <family val="2"/>
        <scheme val="minor"/>
      </rPr>
      <t xml:space="preserve"> B@12:30</t>
    </r>
  </si>
  <si>
    <r>
      <t xml:space="preserve">CCf6 7:45a-11/ </t>
    </r>
    <r>
      <rPr>
        <sz val="11"/>
        <color theme="7"/>
        <rFont val="Aptos Narrow"/>
        <family val="2"/>
      </rPr>
      <t xml:space="preserve">B@11/ </t>
    </r>
    <r>
      <rPr>
        <sz val="11"/>
        <color theme="1"/>
        <rFont val="Aptos Narrow"/>
        <family val="2"/>
      </rPr>
      <t>11:30-4:45p f6</t>
    </r>
  </si>
  <si>
    <t>Call out</t>
  </si>
  <si>
    <r>
      <t xml:space="preserve">8a-11a f2/ 11-3p give breaks </t>
    </r>
    <r>
      <rPr>
        <sz val="11"/>
        <color theme="7"/>
        <rFont val="Aptos Narrow"/>
        <family val="2"/>
        <scheme val="minor"/>
      </rPr>
      <t xml:space="preserve"> B@1</t>
    </r>
  </si>
  <si>
    <r>
      <t>8a-6p f2</t>
    </r>
    <r>
      <rPr>
        <sz val="11"/>
        <color theme="7"/>
        <rFont val="Aptos Narrow"/>
        <family val="2"/>
        <scheme val="minor"/>
      </rPr>
      <t xml:space="preserve"> B@1</t>
    </r>
    <r>
      <rPr>
        <sz val="11"/>
        <rFont val="Aptos Narrow"/>
        <family val="2"/>
        <scheme val="minor"/>
      </rPr>
      <t>/</t>
    </r>
  </si>
  <si>
    <t>11:30a-6p where needed</t>
  </si>
  <si>
    <t>12pm-3pm ground</t>
  </si>
  <si>
    <t>10a-3pm f2 desk</t>
  </si>
  <si>
    <r>
      <t>7:30a- 5p ground</t>
    </r>
    <r>
      <rPr>
        <b/>
        <sz val="11"/>
        <color theme="7"/>
        <rFont val="Aptos Narrow"/>
        <family val="2"/>
        <scheme val="minor"/>
      </rPr>
      <t xml:space="preserve"> B@11a</t>
    </r>
  </si>
  <si>
    <r>
      <rPr>
        <b/>
        <sz val="11"/>
        <color theme="9"/>
        <rFont val="Aptos Narrow"/>
        <family val="2"/>
        <scheme val="minor"/>
      </rPr>
      <t>2p-3p Training</t>
    </r>
    <r>
      <rPr>
        <sz val="11"/>
        <color rgb="FFFF0000"/>
        <rFont val="Aptos Narrow"/>
        <family val="2"/>
        <scheme val="minor"/>
      </rPr>
      <t>/ 3-7p CC f2</t>
    </r>
  </si>
  <si>
    <r>
      <t xml:space="preserve">CC f6 2p-7p </t>
    </r>
    <r>
      <rPr>
        <b/>
        <sz val="11"/>
        <rFont val="Aptos Narrow"/>
        <family val="2"/>
        <scheme val="minor"/>
      </rPr>
      <t>no brk</t>
    </r>
  </si>
  <si>
    <t>CC 2p-7p WFH</t>
  </si>
  <si>
    <r>
      <t>CC f2 11a-7p</t>
    </r>
    <r>
      <rPr>
        <sz val="11"/>
        <color theme="7"/>
        <rFont val="Aptos Narrow"/>
        <family val="2"/>
        <scheme val="minor"/>
      </rPr>
      <t xml:space="preserve"> B@4</t>
    </r>
  </si>
  <si>
    <r>
      <rPr>
        <sz val="11"/>
        <rFont val="Aptos Narrow"/>
        <family val="2"/>
        <scheme val="minor"/>
      </rPr>
      <t>8a-1p TR w Osmaro/</t>
    </r>
    <r>
      <rPr>
        <sz val="11"/>
        <color theme="9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B@1p</t>
    </r>
    <r>
      <rPr>
        <sz val="11"/>
        <color theme="9"/>
        <rFont val="Aptos Narrow"/>
        <family val="2"/>
        <scheme val="minor"/>
      </rPr>
      <t xml:space="preserve">/ </t>
    </r>
    <r>
      <rPr>
        <b/>
        <sz val="12"/>
        <color theme="9"/>
        <rFont val="Aptos Narrow"/>
        <family val="2"/>
        <scheme val="minor"/>
      </rPr>
      <t>TR 2-3p /</t>
    </r>
  </si>
  <si>
    <r>
      <t>CC f2 11a-7p</t>
    </r>
    <r>
      <rPr>
        <sz val="11"/>
        <color theme="7"/>
        <rFont val="Aptos Narrow"/>
        <family val="2"/>
        <scheme val="minor"/>
      </rPr>
      <t xml:space="preserve"> B@2</t>
    </r>
  </si>
  <si>
    <t>CC wfh 8a-4p</t>
  </si>
  <si>
    <t>CC 11a-7p WFH</t>
  </si>
  <si>
    <t>CC f2 9a-5p</t>
  </si>
  <si>
    <r>
      <t xml:space="preserve">CC f6 11a-7p  </t>
    </r>
    <r>
      <rPr>
        <sz val="11"/>
        <color theme="7"/>
        <rFont val="Aptos Narrow"/>
        <family val="2"/>
        <scheme val="minor"/>
      </rPr>
      <t>B@2</t>
    </r>
  </si>
  <si>
    <t>12p-7p set-up/ 7-8 closing w pablo</t>
  </si>
  <si>
    <t>TR w Taran 8a-6p f2 desk</t>
  </si>
  <si>
    <t>10a-3pm ground/ elev no brk</t>
  </si>
  <si>
    <t>11a-11:30 G / 11:30-4:30p TR w Pablo/ B@4:30 /  5-6G/ 6-7:30 closer</t>
  </si>
  <si>
    <r>
      <t xml:space="preserve">Anastasia </t>
    </r>
    <r>
      <rPr>
        <b/>
        <sz val="11"/>
        <color theme="7"/>
        <rFont val="Aptos Narrow"/>
        <family val="2"/>
        <scheme val="minor"/>
      </rPr>
      <t>B</t>
    </r>
  </si>
  <si>
    <r>
      <t>8a-1p TRw Daria/</t>
    </r>
    <r>
      <rPr>
        <b/>
        <sz val="11"/>
        <color theme="7"/>
        <rFont val="Aptos Narrow"/>
        <family val="2"/>
        <scheme val="minor"/>
      </rPr>
      <t xml:space="preserve"> B@1</t>
    </r>
    <r>
      <rPr>
        <b/>
        <sz val="11"/>
        <color theme="1"/>
        <rFont val="Aptos Narrow"/>
        <family val="2"/>
        <scheme val="minor"/>
      </rPr>
      <t xml:space="preserve"> / TR 2-3</t>
    </r>
  </si>
  <si>
    <t>8a-3:30 w Daria TR + SS support</t>
  </si>
  <si>
    <r>
      <t xml:space="preserve">8a-5p f6 </t>
    </r>
    <r>
      <rPr>
        <b/>
        <sz val="11"/>
        <color theme="7"/>
        <rFont val="Aptos Narrow"/>
        <family val="2"/>
        <scheme val="minor"/>
      </rPr>
      <t>B@12:30</t>
    </r>
  </si>
  <si>
    <r>
      <t xml:space="preserve">CC f6 8a-5p </t>
    </r>
    <r>
      <rPr>
        <sz val="11"/>
        <color rgb="FF0F9ED5"/>
        <rFont val="Aptos Narrow"/>
        <family val="2"/>
        <scheme val="minor"/>
      </rPr>
      <t>B@1</t>
    </r>
  </si>
  <si>
    <r>
      <t xml:space="preserve">8a-5p f2 </t>
    </r>
    <r>
      <rPr>
        <b/>
        <sz val="11"/>
        <color theme="7"/>
        <rFont val="Aptos Narrow"/>
        <family val="2"/>
        <scheme val="minor"/>
      </rPr>
      <t>B@1</t>
    </r>
  </si>
  <si>
    <r>
      <t xml:space="preserve">Karan </t>
    </r>
    <r>
      <rPr>
        <b/>
        <sz val="11"/>
        <color theme="7"/>
        <rFont val="Aptos Narrow"/>
        <family val="2"/>
        <scheme val="minor"/>
      </rPr>
      <t>C</t>
    </r>
  </si>
  <si>
    <r>
      <rPr>
        <b/>
        <sz val="11"/>
        <color rgb="FFFF0000"/>
        <rFont val="Aptos Narrow"/>
        <family val="2"/>
        <scheme val="minor"/>
      </rPr>
      <t xml:space="preserve">CC 8a-4p f6 </t>
    </r>
    <r>
      <rPr>
        <b/>
        <sz val="11"/>
        <color theme="7"/>
        <rFont val="Aptos Narrow"/>
        <family val="2"/>
        <scheme val="minor"/>
      </rPr>
      <t>B@12p</t>
    </r>
  </si>
  <si>
    <t>1p-6  f6</t>
  </si>
  <si>
    <t>10a-5p f2 elev + lines at SS</t>
  </si>
  <si>
    <t>8a-11a ground/ B@11/ 11:30-4p f2</t>
  </si>
  <si>
    <t>Request OFF</t>
  </si>
  <si>
    <r>
      <t xml:space="preserve">7:30a-5p ground </t>
    </r>
    <r>
      <rPr>
        <b/>
        <sz val="11"/>
        <color theme="7"/>
        <rFont val="Aptos Narrow"/>
        <family val="2"/>
        <scheme val="minor"/>
      </rPr>
      <t>B@12:30</t>
    </r>
  </si>
  <si>
    <t>7:30pm-12p ground/ 12-3:30 f6</t>
  </si>
  <si>
    <r>
      <t xml:space="preserve">7:30a- 3:30p ground </t>
    </r>
    <r>
      <rPr>
        <b/>
        <sz val="11"/>
        <color theme="7"/>
        <rFont val="Aptos Narrow"/>
        <family val="2"/>
        <scheme val="minor"/>
      </rPr>
      <t>B@12</t>
    </r>
  </si>
  <si>
    <t>Intern Sara Karimi</t>
  </si>
  <si>
    <t>TR 12p-1p w Aashima/ 1-7:30p w Pablo</t>
  </si>
  <si>
    <t>1p-2p wAdonis/ 3p-7:30p w Pablo</t>
  </si>
  <si>
    <t>Intern Mickaela G</t>
  </si>
  <si>
    <t>tbd</t>
  </si>
  <si>
    <t>TR 11-7:30 w Pablo</t>
  </si>
  <si>
    <t>10a-3pm TR w Taran f2</t>
  </si>
  <si>
    <t>9a-3pm f2 TR</t>
  </si>
  <si>
    <t>Reading Week     ORIENTATION     / registration F2 /FRANCO 8a-4p</t>
  </si>
  <si>
    <t>registration 2nd floor  / FRANCO Vega 8a-9a/ 9a-3p IBU/ 3-4 Vega</t>
  </si>
  <si>
    <t>First Day of Class</t>
  </si>
  <si>
    <t xml:space="preserve"> 8a-4p VEGA franco</t>
  </si>
  <si>
    <t xml:space="preserve"> 8a-4p VEGA Camila</t>
  </si>
  <si>
    <t>9a-7:30p</t>
  </si>
  <si>
    <t>offsite vega 10a-9p</t>
  </si>
  <si>
    <t>10a-7a</t>
  </si>
  <si>
    <t>9a-2 ibu/ 2-8 Lawrence?</t>
  </si>
  <si>
    <t>6p-2a after hours signage</t>
  </si>
  <si>
    <t>8a-5p Orientation</t>
  </si>
  <si>
    <t>8a-9p Ground/ 9-5p</t>
  </si>
  <si>
    <t>Lieu day</t>
  </si>
  <si>
    <t>Osmaro</t>
  </si>
  <si>
    <t>7:30a-4pm ground</t>
  </si>
  <si>
    <r>
      <t>7:45a-1 ground/</t>
    </r>
    <r>
      <rPr>
        <sz val="11"/>
        <color theme="7"/>
        <rFont val="Aptos Narrow"/>
        <family val="2"/>
        <scheme val="minor"/>
      </rPr>
      <t xml:space="preserve"> B@1</t>
    </r>
    <r>
      <rPr>
        <sz val="11"/>
        <color theme="1"/>
        <rFont val="Aptos Narrow"/>
        <family val="2"/>
        <scheme val="minor"/>
      </rPr>
      <t>/ 1:30-3:45p set-up</t>
    </r>
  </si>
  <si>
    <r>
      <t>7:30a-8a Ground/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8a-5p f2/ set-up see list in chat </t>
    </r>
    <r>
      <rPr>
        <b/>
        <sz val="11"/>
        <color theme="7"/>
        <rFont val="Aptos Narrow"/>
        <family val="2"/>
        <scheme val="minor"/>
      </rPr>
      <t>B@12:30</t>
    </r>
  </si>
  <si>
    <t>11a-8pm Set-up</t>
  </si>
  <si>
    <r>
      <rPr>
        <b/>
        <sz val="11"/>
        <rFont val="Aptos Narrow"/>
        <family val="2"/>
      </rPr>
      <t>7:30-7:45 ground/</t>
    </r>
    <r>
      <rPr>
        <b/>
        <sz val="11"/>
        <color rgb="FFFF0000"/>
        <rFont val="Aptos Narrow"/>
        <family val="2"/>
      </rPr>
      <t xml:space="preserve"> 7:45a-4p f6 </t>
    </r>
  </si>
  <si>
    <t>f6 7:45a-4p</t>
  </si>
  <si>
    <t>7:30am-10:30am Ground</t>
  </si>
  <si>
    <r>
      <t>7:30a-8:30a GR/ 8:30a-3p f2</t>
    </r>
    <r>
      <rPr>
        <b/>
        <sz val="11"/>
        <color theme="7"/>
        <rFont val="Aptos Narrow"/>
        <family val="2"/>
        <scheme val="minor"/>
      </rPr>
      <t xml:space="preserve"> B@12:30 +1hr brk/ </t>
    </r>
    <r>
      <rPr>
        <b/>
        <sz val="11"/>
        <rFont val="Aptos Narrow"/>
        <family val="2"/>
        <scheme val="minor"/>
      </rPr>
      <t>3p-6p gr. 6-7:30 close campus</t>
    </r>
  </si>
  <si>
    <t>11a-8pm Set-up/ close campus</t>
  </si>
  <si>
    <t>12p-4p  set-up/ 4-8 Close</t>
  </si>
  <si>
    <r>
      <t xml:space="preserve">12-3 where busy/ </t>
    </r>
    <r>
      <rPr>
        <b/>
        <sz val="11"/>
        <color theme="7"/>
        <rFont val="Aptos Narrow"/>
        <family val="2"/>
        <scheme val="minor"/>
      </rPr>
      <t>B@3</t>
    </r>
    <r>
      <rPr>
        <b/>
        <sz val="11"/>
        <rFont val="Aptos Narrow"/>
        <family val="2"/>
        <scheme val="minor"/>
      </rPr>
      <t>/ 3:30-6 set up/6-8 close</t>
    </r>
  </si>
  <si>
    <r>
      <t xml:space="preserve">7:30a-10a ground/10a-4p f6 </t>
    </r>
    <r>
      <rPr>
        <b/>
        <sz val="11"/>
        <color theme="7"/>
        <rFont val="Aptos Narrow"/>
        <family val="2"/>
        <scheme val="minor"/>
      </rPr>
      <t>B@1</t>
    </r>
  </si>
  <si>
    <t>12-12:30 ground/ 12:30-5 set-up/ 5-6 ground/ 6-8 close campus</t>
  </si>
  <si>
    <r>
      <t>CC f2 8a-2p/</t>
    </r>
    <r>
      <rPr>
        <sz val="11"/>
        <color theme="7"/>
        <rFont val="Aptos Narrow"/>
        <family val="2"/>
        <scheme val="minor"/>
      </rPr>
      <t>B@2</t>
    </r>
    <r>
      <rPr>
        <sz val="11"/>
        <color rgb="FFFF0000"/>
        <rFont val="Aptos Narrow"/>
        <family val="2"/>
        <scheme val="minor"/>
      </rPr>
      <t xml:space="preserve"> 2-4 help w set-up</t>
    </r>
  </si>
  <si>
    <t xml:space="preserve">CC 7:45a-3:45p f2 </t>
  </si>
  <si>
    <t>CC 7:45a-11a f6</t>
  </si>
  <si>
    <r>
      <t xml:space="preserve">CC 7:45a-11:15/ </t>
    </r>
    <r>
      <rPr>
        <b/>
        <sz val="11"/>
        <color theme="8"/>
        <rFont val="Aptos Narrow"/>
        <family val="2"/>
      </rPr>
      <t>elev 11:15-12:15/</t>
    </r>
    <r>
      <rPr>
        <b/>
        <sz val="11"/>
        <color theme="7"/>
        <rFont val="Aptos Narrow"/>
        <family val="2"/>
      </rPr>
      <t xml:space="preserve"> B@12:15/</t>
    </r>
    <r>
      <rPr>
        <b/>
        <sz val="11"/>
        <color rgb="FFFF0000"/>
        <rFont val="Aptos Narrow"/>
        <family val="2"/>
      </rPr>
      <t xml:space="preserve">  </t>
    </r>
    <r>
      <rPr>
        <b/>
        <sz val="11"/>
        <color theme="1"/>
        <rFont val="Aptos Narrow"/>
        <family val="2"/>
      </rPr>
      <t>12p-3 ops support/</t>
    </r>
    <r>
      <rPr>
        <b/>
        <sz val="11"/>
        <color rgb="FFFF0000"/>
        <rFont val="Aptos Narrow"/>
        <family val="2"/>
      </rPr>
      <t xml:space="preserve"> </t>
    </r>
    <r>
      <rPr>
        <b/>
        <sz val="11"/>
        <color theme="8"/>
        <rFont val="Aptos Narrow"/>
        <family val="2"/>
      </rPr>
      <t xml:space="preserve">3-3:45 elv f2 </t>
    </r>
  </si>
  <si>
    <r>
      <t xml:space="preserve">CC 11a - 7p f2 </t>
    </r>
    <r>
      <rPr>
        <b/>
        <sz val="11"/>
        <color theme="7"/>
        <rFont val="Aptos Narrow"/>
        <family val="2"/>
        <scheme val="minor"/>
      </rPr>
      <t>B@2:30p</t>
    </r>
  </si>
  <si>
    <r>
      <t>CC f2 2p-6p/</t>
    </r>
    <r>
      <rPr>
        <b/>
        <sz val="11"/>
        <color theme="7"/>
        <rFont val="Aptos Narrow"/>
        <family val="2"/>
      </rPr>
      <t>B@6</t>
    </r>
    <r>
      <rPr>
        <b/>
        <sz val="11"/>
        <color theme="1"/>
        <rFont val="Aptos Narrow"/>
        <family val="2"/>
      </rPr>
      <t xml:space="preserve"> 6:30-8 close campus w Pablo</t>
    </r>
  </si>
  <si>
    <r>
      <t xml:space="preserve">CC 11a - 7p f6 </t>
    </r>
    <r>
      <rPr>
        <b/>
        <sz val="11"/>
        <color theme="7"/>
        <rFont val="Aptos Narrow"/>
        <family val="2"/>
        <scheme val="minor"/>
      </rPr>
      <t>B@2:30p</t>
    </r>
  </si>
  <si>
    <r>
      <t xml:space="preserve">CC 11a - 7p f2 </t>
    </r>
    <r>
      <rPr>
        <b/>
        <sz val="11"/>
        <color theme="7"/>
        <rFont val="Aptos Narrow"/>
        <family val="2"/>
        <scheme val="minor"/>
      </rPr>
      <t xml:space="preserve">B@2:30p/ </t>
    </r>
    <r>
      <rPr>
        <b/>
        <sz val="11"/>
        <rFont val="Aptos Narrow"/>
        <family val="2"/>
        <scheme val="minor"/>
      </rPr>
      <t>7-8p help Sagar close</t>
    </r>
  </si>
  <si>
    <t>CC 7:45a-2:45p f6</t>
  </si>
  <si>
    <t>8a-6p ORIENTATION</t>
  </si>
  <si>
    <r>
      <t xml:space="preserve">7:45a-4:45 f2 </t>
    </r>
    <r>
      <rPr>
        <b/>
        <sz val="11"/>
        <color theme="7"/>
        <rFont val="Aptos Narrow"/>
        <family val="2"/>
        <scheme val="minor"/>
      </rPr>
      <t>B@12:30</t>
    </r>
  </si>
  <si>
    <t>7:45a-8:30a ground/ 8:30a-3:45p f6</t>
  </si>
  <si>
    <t>SICK</t>
  </si>
  <si>
    <t>OPS PM - finish 7:30</t>
  </si>
  <si>
    <t>10a-3p f2 desk</t>
  </si>
  <si>
    <t>10a-3pm Ground</t>
  </si>
  <si>
    <r>
      <t xml:space="preserve">7:30a-5pm Ground </t>
    </r>
    <r>
      <rPr>
        <sz val="11"/>
        <color theme="7"/>
        <rFont val="Aptos Narrow"/>
        <family val="2"/>
        <scheme val="minor"/>
      </rPr>
      <t>B@12p</t>
    </r>
  </si>
  <si>
    <r>
      <t xml:space="preserve">Viviana </t>
    </r>
    <r>
      <rPr>
        <b/>
        <sz val="11"/>
        <color theme="7"/>
        <rFont val="Aptos Narrow"/>
        <family val="2"/>
        <scheme val="minor"/>
      </rPr>
      <t>B</t>
    </r>
  </si>
  <si>
    <t>CC f6 2p-7p</t>
  </si>
  <si>
    <t>8a-1p help Aashima</t>
  </si>
  <si>
    <t>CC 2p-7p f6</t>
  </si>
  <si>
    <r>
      <t xml:space="preserve">Iqra </t>
    </r>
    <r>
      <rPr>
        <b/>
        <sz val="11"/>
        <color theme="7"/>
        <rFont val="Aptos Narrow"/>
        <family val="2"/>
        <scheme val="minor"/>
      </rPr>
      <t>B</t>
    </r>
  </si>
  <si>
    <t xml:space="preserve">CC f6 8a-2p </t>
  </si>
  <si>
    <r>
      <t xml:space="preserve">CC 1p-2p f2/ 2p-7p f6 </t>
    </r>
    <r>
      <rPr>
        <b/>
        <sz val="11"/>
        <color theme="7"/>
        <rFont val="Aptos Narrow"/>
        <family val="2"/>
      </rPr>
      <t>B@3</t>
    </r>
  </si>
  <si>
    <r>
      <t xml:space="preserve">CC 8a-4p f6 </t>
    </r>
    <r>
      <rPr>
        <b/>
        <sz val="11"/>
        <color theme="7"/>
        <rFont val="Aptos Narrow"/>
        <family val="2"/>
        <scheme val="minor"/>
      </rPr>
      <t>B@2p</t>
    </r>
  </si>
  <si>
    <t>Sagar - Intern wk6</t>
  </si>
  <si>
    <t>9a-5p w Aashima</t>
  </si>
  <si>
    <t>TR w Pablo 12p-8pm</t>
  </si>
  <si>
    <t xml:space="preserve">12-3 go where busy/ 3-8 ground/ close </t>
  </si>
  <si>
    <t>10a-8p Orientation</t>
  </si>
  <si>
    <t>CC 7:45a-3:45p f6</t>
  </si>
  <si>
    <t>8a-9 ground/ 9a-1pm elev f6</t>
  </si>
  <si>
    <t>1-6p elev f2</t>
  </si>
  <si>
    <r>
      <t xml:space="preserve">CC 11:30a - 7p f6 </t>
    </r>
    <r>
      <rPr>
        <b/>
        <sz val="11"/>
        <color theme="7"/>
        <rFont val="Aptos Narrow"/>
        <family val="2"/>
        <scheme val="minor"/>
      </rPr>
      <t>B@2:30p</t>
    </r>
  </si>
  <si>
    <t>Francisco C</t>
  </si>
  <si>
    <r>
      <t xml:space="preserve">7:30a-4:30pm ground/ Set-up </t>
    </r>
    <r>
      <rPr>
        <sz val="11"/>
        <color theme="7"/>
        <rFont val="Aptos Narrow"/>
        <family val="2"/>
        <scheme val="minor"/>
      </rPr>
      <t>B@12</t>
    </r>
  </si>
  <si>
    <t>1-6p Ground</t>
  </si>
  <si>
    <t>9a-5pm set-up/ help where needed</t>
  </si>
  <si>
    <t>8a-1pm f2/Set-up - see list in group chat</t>
  </si>
  <si>
    <t>New Intern next week?</t>
  </si>
  <si>
    <t xml:space="preserve">Reading Week               MOVING                               </t>
  </si>
  <si>
    <t xml:space="preserve">Reading Week               MOVING   FINAL                                </t>
  </si>
  <si>
    <t>New Year's Eve</t>
  </si>
  <si>
    <t>New Year's DAY</t>
  </si>
  <si>
    <t>Reading Week               SET-UP FURNITURE</t>
  </si>
  <si>
    <r>
      <t xml:space="preserve">Reading Week                                     SET-UP FURNITURE / </t>
    </r>
    <r>
      <rPr>
        <b/>
        <sz val="11"/>
        <color theme="1"/>
        <rFont val="Aptos Narrow"/>
        <family val="2"/>
        <scheme val="minor"/>
      </rPr>
      <t>FRANCO 8a-4p</t>
    </r>
  </si>
  <si>
    <t>Reading Week               MOVING                        SET-UP FURNITURE</t>
  </si>
  <si>
    <t>7a-7p</t>
  </si>
  <si>
    <t>8a-8p</t>
  </si>
  <si>
    <t>9a-8p +8 comp owed</t>
  </si>
  <si>
    <t>12p-8:30p</t>
  </si>
  <si>
    <t>10a-3:30</t>
  </si>
  <si>
    <t>comp off</t>
  </si>
  <si>
    <t>Daria</t>
  </si>
  <si>
    <t>11a-5 New Campus</t>
  </si>
  <si>
    <r>
      <t xml:space="preserve">CC 11a-8:30p Onsite New Campus </t>
    </r>
    <r>
      <rPr>
        <b/>
        <sz val="11"/>
        <color theme="7"/>
        <rFont val="Aptos Narrow"/>
        <family val="2"/>
      </rPr>
      <t>B@3:30p</t>
    </r>
  </si>
  <si>
    <t>8a-5:30p  Set-UP new campus</t>
  </si>
  <si>
    <t>8a-4p  Set-UP new campus</t>
  </si>
  <si>
    <t>9a-3:30p Set-UP</t>
  </si>
  <si>
    <t>9a-5 New Campus</t>
  </si>
  <si>
    <t>10a-7pNew Campus</t>
  </si>
  <si>
    <t>9a-2 Set-UP</t>
  </si>
  <si>
    <t>9a-5 Set-UP</t>
  </si>
  <si>
    <t>8a-4pm Wrap up old cmpus</t>
  </si>
  <si>
    <t>CC 8a-4p f9</t>
  </si>
  <si>
    <t>CC 8a-4p wfh</t>
  </si>
  <si>
    <t>CC AM</t>
  </si>
  <si>
    <t>9a-7p Set-UP</t>
  </si>
  <si>
    <t>9:30a-3:30p Set-UP</t>
  </si>
  <si>
    <t>CC PM</t>
  </si>
  <si>
    <t>Chinnesha</t>
  </si>
  <si>
    <r>
      <t xml:space="preserve">CC 11a-7p f9 </t>
    </r>
    <r>
      <rPr>
        <b/>
        <sz val="11"/>
        <color theme="7"/>
        <rFont val="Aptos Narrow"/>
        <family val="2"/>
      </rPr>
      <t>B@3:30p</t>
    </r>
  </si>
  <si>
    <r>
      <t xml:space="preserve">CC 8a-12p f6/ </t>
    </r>
    <r>
      <rPr>
        <b/>
        <sz val="11"/>
        <color theme="7"/>
        <rFont val="Aptos Narrow"/>
        <family val="2"/>
        <scheme val="minor"/>
      </rPr>
      <t>B@12/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12:30-6pm set-up</t>
    </r>
  </si>
  <si>
    <t>Anastasia</t>
  </si>
  <si>
    <t>9a-5 New Campus w fran</t>
  </si>
  <si>
    <t>9a-5:30 Set-UP</t>
  </si>
  <si>
    <t>Set-UP for Orientation 11a-7pm</t>
  </si>
  <si>
    <t>Karan</t>
  </si>
  <si>
    <t>CC 8a-4p f9 80 Bloor</t>
  </si>
  <si>
    <t>8a-4pm old Campus move</t>
  </si>
  <si>
    <t>8a-5pm old Campus</t>
  </si>
  <si>
    <t>Viviana B</t>
  </si>
  <si>
    <t>9a-6 New Campus</t>
  </si>
  <si>
    <t xml:space="preserve">Iqra </t>
  </si>
  <si>
    <t>CC 12p-5p f2</t>
  </si>
  <si>
    <t>Sagar - Intern wk5</t>
  </si>
  <si>
    <t>9a-5 old campus</t>
  </si>
  <si>
    <t>9a-7 Set-up New Campus</t>
  </si>
  <si>
    <t>Francisco</t>
  </si>
  <si>
    <t>8a-5p old campus</t>
  </si>
  <si>
    <t>first 30 hours IBU Ops</t>
  </si>
  <si>
    <t>Reading Week                        MOVING  TO STORAGE REGISTRATION</t>
  </si>
  <si>
    <t>Reading Week                        MOVING  / ADONIS gone  / REGISTRATION</t>
  </si>
  <si>
    <t>Reading Week                        MOVING</t>
  </si>
  <si>
    <t>Christmas</t>
  </si>
  <si>
    <t>Boxing Day</t>
  </si>
  <si>
    <t xml:space="preserve">Reading Week                        </t>
  </si>
  <si>
    <t xml:space="preserve">Reading Week                       </t>
  </si>
  <si>
    <t xml:space="preserve">9a-5pm new campus </t>
  </si>
  <si>
    <t>9a-5pm Bloor</t>
  </si>
  <si>
    <t>9am-5pm new c</t>
  </si>
  <si>
    <t>9-5 New campus set-up</t>
  </si>
  <si>
    <t>Off</t>
  </si>
  <si>
    <t xml:space="preserve">8a-4p f9 </t>
  </si>
  <si>
    <t>9a-6p set-up new campus</t>
  </si>
  <si>
    <t>8a-6p set-up new campus</t>
  </si>
  <si>
    <t>11a-7p f9 CC &amp; close campus</t>
  </si>
  <si>
    <r>
      <t xml:space="preserve">11a-7p f9 CC &amp; close campus </t>
    </r>
    <r>
      <rPr>
        <b/>
        <sz val="11"/>
        <color theme="7"/>
        <rFont val="Aptos Narrow"/>
        <family val="2"/>
      </rPr>
      <t>B@3pm</t>
    </r>
  </si>
  <si>
    <t>CC 8a-5pm f9 open/close old campus</t>
  </si>
  <si>
    <t xml:space="preserve">9a-7pm new campus </t>
  </si>
  <si>
    <t xml:space="preserve">8a-5pm new campus </t>
  </si>
  <si>
    <t xml:space="preserve">11a-7pm new campus </t>
  </si>
  <si>
    <t>9-5 old campus</t>
  </si>
  <si>
    <t>Marina</t>
  </si>
  <si>
    <t>Anastasia TR</t>
  </si>
  <si>
    <t>CC TRAIN 11a-7p w Chinnesha</t>
  </si>
  <si>
    <t xml:space="preserve">OFF </t>
  </si>
  <si>
    <t>Viviana</t>
  </si>
  <si>
    <t>2p-5pm new campus</t>
  </si>
  <si>
    <t>CC WFH OR 80 Bloor 11a-7pm</t>
  </si>
  <si>
    <t>8a-1pm CC wfh</t>
  </si>
  <si>
    <r>
      <t xml:space="preserve">8a-1pm CC 80 bloor/ </t>
    </r>
    <r>
      <rPr>
        <sz val="11"/>
        <color theme="7"/>
        <rFont val="Aptos Narrow"/>
        <family val="2"/>
        <scheme val="minor"/>
      </rPr>
      <t>B@1pm</t>
    </r>
    <r>
      <rPr>
        <sz val="11"/>
        <color rgb="FFFF0000"/>
        <rFont val="Aptos Narrow"/>
        <family val="2"/>
        <scheme val="minor"/>
      </rPr>
      <t xml:space="preserve">/ </t>
    </r>
    <r>
      <rPr>
        <sz val="11"/>
        <rFont val="Aptos Narrow"/>
        <family val="2"/>
        <scheme val="minor"/>
      </rPr>
      <t>1:30-6 help Aashima</t>
    </r>
  </si>
  <si>
    <r>
      <rPr>
        <sz val="11"/>
        <color rgb="FFFF0000"/>
        <rFont val="Aptos Narrow"/>
        <family val="2"/>
        <scheme val="minor"/>
      </rPr>
      <t xml:space="preserve">8a-1pm CC f9 </t>
    </r>
    <r>
      <rPr>
        <sz val="11"/>
        <rFont val="Aptos Narrow"/>
        <family val="2"/>
        <scheme val="minor"/>
      </rPr>
      <t>/B@1/ 1:30-5pm New Campus</t>
    </r>
  </si>
  <si>
    <t xml:space="preserve">CC 8a-1pm old campus </t>
  </si>
  <si>
    <t>Sagar - Intern wk4</t>
  </si>
  <si>
    <t>9-5 w Pablo</t>
  </si>
  <si>
    <t>9-7p w new campus</t>
  </si>
  <si>
    <t>Help Aashima at old campus 9a-5p</t>
  </si>
  <si>
    <t xml:space="preserve">8a-4 old campus </t>
  </si>
  <si>
    <t>Setup - Marc class</t>
  </si>
  <si>
    <r>
      <rPr>
        <b/>
        <sz val="11"/>
        <color rgb="FFFF0000"/>
        <rFont val="Aptos Narrow"/>
        <family val="2"/>
      </rPr>
      <t xml:space="preserve">setup 807 - Dorothy event @10 </t>
    </r>
    <r>
      <rPr>
        <sz val="11"/>
        <color rgb="FF000000"/>
        <rFont val="Aptos Narrow"/>
        <family val="2"/>
      </rPr>
      <t xml:space="preserve">/Last Day of Class     </t>
    </r>
    <r>
      <rPr>
        <b/>
        <sz val="11"/>
        <color rgb="FF000000"/>
        <rFont val="Aptos Narrow"/>
        <family val="2"/>
      </rPr>
      <t>REGISTRATION   / Aashima CC TRAINING F9 meeting room</t>
    </r>
    <r>
      <rPr>
        <sz val="11"/>
        <color rgb="FF000000"/>
        <rFont val="Aptos Narrow"/>
        <family val="2"/>
      </rPr>
      <t xml:space="preserve"> 2-7p</t>
    </r>
  </si>
  <si>
    <r>
      <t xml:space="preserve">Reading Week                         </t>
    </r>
    <r>
      <rPr>
        <b/>
        <sz val="11"/>
        <color theme="1"/>
        <rFont val="Aptos Narrow"/>
        <family val="2"/>
        <scheme val="minor"/>
      </rPr>
      <t>REGISTRATION</t>
    </r>
  </si>
  <si>
    <r>
      <rPr>
        <sz val="11"/>
        <color rgb="FF000000"/>
        <rFont val="Aptos Narrow"/>
        <family val="2"/>
        <scheme val="minor"/>
      </rPr>
      <t xml:space="preserve">Reading Week           / </t>
    </r>
    <r>
      <rPr>
        <b/>
        <sz val="11"/>
        <color rgb="FFFF0000"/>
        <rFont val="Aptos Narrow"/>
        <family val="2"/>
        <scheme val="minor"/>
      </rPr>
      <t>Faculty Orientation 11:30a-12:30p rm 905   / makeup classes see sched</t>
    </r>
    <r>
      <rPr>
        <sz val="11"/>
        <color rgb="FF000000"/>
        <rFont val="Aptos Narrow"/>
        <family val="2"/>
        <scheme val="minor"/>
      </rPr>
      <t xml:space="preserve">                        / </t>
    </r>
    <r>
      <rPr>
        <b/>
        <sz val="11"/>
        <color rgb="FF000000"/>
        <rFont val="Aptos Narrow"/>
        <family val="2"/>
        <scheme val="minor"/>
      </rPr>
      <t>REGISTRATION</t>
    </r>
  </si>
  <si>
    <r>
      <t xml:space="preserve">Reading Week                        MOVING      / </t>
    </r>
    <r>
      <rPr>
        <b/>
        <sz val="11"/>
        <color theme="1"/>
        <rFont val="Aptos Narrow"/>
        <family val="2"/>
        <scheme val="minor"/>
      </rPr>
      <t>REGISTRATION</t>
    </r>
  </si>
  <si>
    <t>7a-5 @655</t>
  </si>
  <si>
    <t>8a-7 @655</t>
  </si>
  <si>
    <t>8a-6:30 @655</t>
  </si>
  <si>
    <t>8a-9pm</t>
  </si>
  <si>
    <t>8a-8:30p @655</t>
  </si>
  <si>
    <t>8a-1a</t>
  </si>
  <si>
    <t>10a-5p</t>
  </si>
  <si>
    <t>9a-5p offsite</t>
  </si>
  <si>
    <t>8a-8pm 80 Bloor</t>
  </si>
  <si>
    <t>SOHAN last day</t>
  </si>
  <si>
    <t>9a-2p offsite</t>
  </si>
  <si>
    <t>9a-5pm offsite</t>
  </si>
  <si>
    <t>9a-5p PREP MOVE (11a-1p event)</t>
  </si>
  <si>
    <t>9a-5 PREP MOVE</t>
  </si>
  <si>
    <t>8a-8</t>
  </si>
  <si>
    <t>8p-1a owed</t>
  </si>
  <si>
    <t>8a-1p f9</t>
  </si>
  <si>
    <r>
      <t xml:space="preserve">8a-12:30p f9 </t>
    </r>
    <r>
      <rPr>
        <b/>
        <sz val="11"/>
        <color theme="7"/>
        <rFont val="Aptos Narrow"/>
        <family val="2"/>
      </rPr>
      <t>B@12:30</t>
    </r>
    <r>
      <rPr>
        <b/>
        <sz val="11"/>
        <color theme="1"/>
        <rFont val="Aptos Narrow"/>
        <family val="2"/>
      </rPr>
      <t>/ 1-6 f8</t>
    </r>
  </si>
  <si>
    <r>
      <t xml:space="preserve">8a-4p CC f8 </t>
    </r>
    <r>
      <rPr>
        <b/>
        <sz val="11"/>
        <color theme="7"/>
        <rFont val="Aptos Narrow"/>
        <family val="2"/>
        <scheme val="minor"/>
      </rPr>
      <t>B@1</t>
    </r>
  </si>
  <si>
    <r>
      <t xml:space="preserve">8a-3p CC f9 </t>
    </r>
    <r>
      <rPr>
        <b/>
        <sz val="11"/>
        <color rgb="FF0F9ED5"/>
        <rFont val="Aptos Narrow"/>
        <family val="2"/>
      </rPr>
      <t>B@12:30</t>
    </r>
  </si>
  <si>
    <t>1p-7p f9</t>
  </si>
  <si>
    <t>CC12:30p-7p f9</t>
  </si>
  <si>
    <t>2p-6p prep movef12 / 6-7 close</t>
  </si>
  <si>
    <t>CC 12:30p-7p f9 B@3:30</t>
  </si>
  <si>
    <r>
      <t xml:space="preserve">11a-7p f12 </t>
    </r>
    <r>
      <rPr>
        <b/>
        <sz val="11"/>
        <color theme="7"/>
        <rFont val="Aptos Narrow"/>
        <family val="2"/>
      </rPr>
      <t>B@3:30</t>
    </r>
  </si>
  <si>
    <r>
      <t xml:space="preserve">8a-6p CC f8 </t>
    </r>
    <r>
      <rPr>
        <b/>
        <sz val="11"/>
        <color theme="7"/>
        <rFont val="Aptos Narrow"/>
        <family val="2"/>
        <scheme val="minor"/>
      </rPr>
      <t>B@1</t>
    </r>
  </si>
  <si>
    <t>11a-7p CC f9 Close campus</t>
  </si>
  <si>
    <t>8a-11a f9/ B@11/ 11:30-4p registration (if slow help prep M)</t>
  </si>
  <si>
    <t>8a-12:30p f9/ B@12:30 1-4p registration (if slow prep M)</t>
  </si>
  <si>
    <t>8a-12:30 f9/ move &amp; regist 1-5</t>
  </si>
  <si>
    <t>ccf12 8a-4p f12</t>
  </si>
  <si>
    <r>
      <t xml:space="preserve">11a-7p f9 </t>
    </r>
    <r>
      <rPr>
        <b/>
        <sz val="11"/>
        <color theme="7"/>
        <rFont val="Aptos Narrow"/>
        <family val="2"/>
      </rPr>
      <t>B@3:30</t>
    </r>
  </si>
  <si>
    <t xml:space="preserve">9:20am-(brk 1hr- 20min) 5pm new campus </t>
  </si>
  <si>
    <t>9am-8p</t>
  </si>
  <si>
    <t>8a-11a f8</t>
  </si>
  <si>
    <t>Leonardo</t>
  </si>
  <si>
    <t>11a-6p f8</t>
  </si>
  <si>
    <t>8a-1p f8</t>
  </si>
  <si>
    <t>Anastasia TRAINING 1</t>
  </si>
  <si>
    <t>8a-11a w fran @655</t>
  </si>
  <si>
    <t>2p-7p f9 meetingR</t>
  </si>
  <si>
    <r>
      <t>CC 8a-4p f8 TR /</t>
    </r>
    <r>
      <rPr>
        <sz val="11"/>
        <rFont val="Aptos Narrow"/>
        <family val="2"/>
        <scheme val="minor"/>
      </rPr>
      <t xml:space="preserve"> 4p-6p f8</t>
    </r>
  </si>
  <si>
    <t>CC 8a-4p f8 TR</t>
  </si>
  <si>
    <t>Viviana TRAINING 3</t>
  </si>
  <si>
    <t>CC 2-7p f12</t>
  </si>
  <si>
    <t>CC  3p-7p f8</t>
  </si>
  <si>
    <t>Iqra TRAINING 3</t>
  </si>
  <si>
    <t>8a-1p f9 TR desk</t>
  </si>
  <si>
    <t>8a-1pm TR desk F9</t>
  </si>
  <si>
    <t>11a-4p NEW CAMPUS</t>
  </si>
  <si>
    <t>Sagar - Intern wk3</t>
  </si>
  <si>
    <t>1p-6p tr f9</t>
  </si>
  <si>
    <t>8a-12:30p f9 TR</t>
  </si>
  <si>
    <t>9-3pm w Pablo</t>
  </si>
  <si>
    <t>8a-5pm prep old campus</t>
  </si>
  <si>
    <t>8a-7pm</t>
  </si>
  <si>
    <t>7p-11p owed</t>
  </si>
  <si>
    <t>8a-12p f10/ 4-7p f10</t>
  </si>
  <si>
    <t>12p-7p f10</t>
  </si>
  <si>
    <t xml:space="preserve">11a-6p prep move </t>
  </si>
  <si>
    <t>8a-7pm (1 HR BREAK)</t>
  </si>
  <si>
    <t>REGISTRATION F10</t>
  </si>
  <si>
    <r>
      <t xml:space="preserve">F10 REGISTRATION           / F10 SET UP CAPSTONE COMP after 3pm  /  </t>
    </r>
    <r>
      <rPr>
        <sz val="11"/>
        <color rgb="FFFF0000"/>
        <rFont val="Aptos Narrow"/>
        <family val="2"/>
        <scheme val="minor"/>
      </rPr>
      <t xml:space="preserve">Fruit &amp; muffins for 4ppl Career services 10:15AM &amp; 1:45PM </t>
    </r>
  </si>
  <si>
    <r>
      <t xml:space="preserve">Capstone Competition all F10    / CC Judges rm 807  / RIIPEN rm 802        / </t>
    </r>
    <r>
      <rPr>
        <b/>
        <sz val="11"/>
        <color theme="1"/>
        <rFont val="Aptos Narrow"/>
        <family val="2"/>
        <scheme val="minor"/>
      </rPr>
      <t>REGISTRATION</t>
    </r>
    <r>
      <rPr>
        <sz val="11"/>
        <color theme="1"/>
        <rFont val="Aptos Narrow"/>
        <family val="2"/>
        <scheme val="minor"/>
      </rPr>
      <t xml:space="preserve"> F12</t>
    </r>
  </si>
  <si>
    <t xml:space="preserve">F10 REGISTRATION/  </t>
  </si>
  <si>
    <t xml:space="preserve">F10 REGISTRATION  </t>
  </si>
  <si>
    <t>10a-1:30p offsite /2-5p ibu/ 9p-3a Law</t>
  </si>
  <si>
    <t>11a-4p</t>
  </si>
  <si>
    <t>8a-6 OFFSITE</t>
  </si>
  <si>
    <t>9a-5 int install</t>
  </si>
  <si>
    <t xml:space="preserve">9a-5p </t>
  </si>
  <si>
    <t>7a-6p @655</t>
  </si>
  <si>
    <t>8a-11a registration/ 11-5p fran</t>
  </si>
  <si>
    <t>8a-10a registration/ 10-3p fran</t>
  </si>
  <si>
    <t>TRAINING</t>
  </si>
  <si>
    <r>
      <t xml:space="preserve">CCf12 11a-7p </t>
    </r>
    <r>
      <rPr>
        <sz val="11"/>
        <color theme="7"/>
        <rFont val="Aptos Narrow"/>
        <family val="2"/>
        <scheme val="minor"/>
      </rPr>
      <t>B@2p</t>
    </r>
  </si>
  <si>
    <r>
      <t xml:space="preserve">8a-1p f9/ </t>
    </r>
    <r>
      <rPr>
        <b/>
        <sz val="11"/>
        <color theme="7"/>
        <rFont val="Aptos Narrow"/>
        <family val="2"/>
        <scheme val="minor"/>
      </rPr>
      <t>B@1</t>
    </r>
    <r>
      <rPr>
        <sz val="11"/>
        <color theme="7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 xml:space="preserve">/ </t>
    </r>
    <r>
      <rPr>
        <sz val="11"/>
        <color rgb="FFFF0000"/>
        <rFont val="Aptos Narrow"/>
        <family val="2"/>
        <scheme val="minor"/>
      </rPr>
      <t>CCf12 1:30-2:30</t>
    </r>
  </si>
  <si>
    <r>
      <rPr>
        <b/>
        <sz val="11"/>
        <color theme="8"/>
        <rFont val="Aptos Narrow"/>
        <family val="2"/>
        <scheme val="minor"/>
      </rPr>
      <t>8:30a-11:30a event/</t>
    </r>
    <r>
      <rPr>
        <sz val="11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B@11:30</t>
    </r>
    <r>
      <rPr>
        <sz val="11"/>
        <rFont val="Aptos Narrow"/>
        <family val="2"/>
        <scheme val="minor"/>
      </rPr>
      <t xml:space="preserve">/ </t>
    </r>
    <r>
      <rPr>
        <sz val="11"/>
        <color rgb="FFFF0000"/>
        <rFont val="Aptos Narrow"/>
        <family val="2"/>
        <scheme val="minor"/>
      </rPr>
      <t>CC 12-4:30p</t>
    </r>
  </si>
  <si>
    <t>8a-11a HELP f9  manage crowd</t>
  </si>
  <si>
    <t>12p-7p f9</t>
  </si>
  <si>
    <t>9a-6p registration + capstone set-up</t>
  </si>
  <si>
    <t>8a-2:30p EVENT</t>
  </si>
  <si>
    <t>CC 9a-4p</t>
  </si>
  <si>
    <t>CC wfh 9a-2p</t>
  </si>
  <si>
    <r>
      <t xml:space="preserve">8a-12:30p f9/ </t>
    </r>
    <r>
      <rPr>
        <b/>
        <sz val="11"/>
        <color theme="7"/>
        <rFont val="Aptos Narrow"/>
        <family val="2"/>
      </rPr>
      <t>B@12:30</t>
    </r>
    <r>
      <rPr>
        <b/>
        <sz val="11"/>
        <color theme="1"/>
        <rFont val="Aptos Narrow"/>
        <family val="2"/>
      </rPr>
      <t xml:space="preserve">/ </t>
    </r>
    <r>
      <rPr>
        <b/>
        <sz val="11"/>
        <color rgb="FFFF0000"/>
        <rFont val="Aptos Narrow"/>
        <family val="2"/>
      </rPr>
      <t xml:space="preserve">CC1-2:30 f12/ </t>
    </r>
    <r>
      <rPr>
        <b/>
        <sz val="11"/>
        <rFont val="Aptos Narrow"/>
        <family val="2"/>
      </rPr>
      <t>2:30-3 f8/ 3-3:30 f9</t>
    </r>
  </si>
  <si>
    <r>
      <t xml:space="preserve">CC f12 11a-7p </t>
    </r>
    <r>
      <rPr>
        <b/>
        <sz val="11"/>
        <color theme="7"/>
        <rFont val="Aptos Narrow"/>
        <family val="2"/>
        <scheme val="minor"/>
      </rPr>
      <t>B@2p</t>
    </r>
  </si>
  <si>
    <t>8a-12p f9 / 4p-7p</t>
  </si>
  <si>
    <r>
      <t xml:space="preserve">CC 12p-7p f8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</si>
  <si>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12:30p-7p f9 </t>
    </r>
    <r>
      <rPr>
        <b/>
        <sz val="11"/>
        <color theme="7"/>
        <rFont val="Aptos Narrow"/>
        <family val="2"/>
        <scheme val="minor"/>
      </rPr>
      <t>B@3</t>
    </r>
  </si>
  <si>
    <r>
      <t xml:space="preserve">CC f12 12p-7p  </t>
    </r>
    <r>
      <rPr>
        <b/>
        <sz val="11"/>
        <color theme="7"/>
        <rFont val="Aptos Narrow"/>
        <family val="2"/>
        <scheme val="minor"/>
      </rPr>
      <t>B@3p</t>
    </r>
  </si>
  <si>
    <r>
      <t xml:space="preserve">CC 8a-3p f12 </t>
    </r>
    <r>
      <rPr>
        <b/>
        <sz val="11"/>
        <color theme="7"/>
        <rFont val="Aptos Narrow"/>
        <family val="2"/>
        <scheme val="minor"/>
      </rPr>
      <t>B@1</t>
    </r>
  </si>
  <si>
    <r>
      <t xml:space="preserve">12p-7p f8 </t>
    </r>
    <r>
      <rPr>
        <sz val="11"/>
        <color theme="7"/>
        <rFont val="Aptos Narrow"/>
        <family val="2"/>
        <scheme val="minor"/>
      </rPr>
      <t>(Iqra to cover break)</t>
    </r>
  </si>
  <si>
    <t>CC 8a-6p f12</t>
  </si>
  <si>
    <t>8a-6p f8</t>
  </si>
  <si>
    <t xml:space="preserve">8a-11a f8 11-6p crowd </t>
  </si>
  <si>
    <t>8a-12p f8 B@12/ registration f10 12:30-6p</t>
  </si>
  <si>
    <t>CC 8a-12:30p f12</t>
  </si>
  <si>
    <t>CC 8a-12p f12</t>
  </si>
  <si>
    <t>CC 9a-7p f10</t>
  </si>
  <si>
    <t>8a-12p f8</t>
  </si>
  <si>
    <t>12p-4p f9</t>
  </si>
  <si>
    <t xml:space="preserve"> 8a-6p f8</t>
  </si>
  <si>
    <r>
      <t xml:space="preserve">12p-6p f8 </t>
    </r>
    <r>
      <rPr>
        <sz val="11"/>
        <color theme="7"/>
        <rFont val="Aptos Narrow"/>
        <family val="2"/>
        <scheme val="minor"/>
      </rPr>
      <t xml:space="preserve">B@2:30 </t>
    </r>
  </si>
  <si>
    <t>8:30a-6p f8</t>
  </si>
  <si>
    <t>8a-12p f9</t>
  </si>
  <si>
    <t>Anastasia TRAINING</t>
  </si>
  <si>
    <t>8a-9:30 f9 w Kavya/ 9:30-11a registration</t>
  </si>
  <si>
    <t>9a-5p registration + capstone set-up</t>
  </si>
  <si>
    <t>8a-12p f9 TR w Kavya</t>
  </si>
  <si>
    <t>9a-5 registration</t>
  </si>
  <si>
    <t>Viviana TRAINING</t>
  </si>
  <si>
    <t>CC4 p-7p f8 w Chinesha</t>
  </si>
  <si>
    <t>2p-7p  f8 w Chinnesha</t>
  </si>
  <si>
    <t>CC 11a-7p f12 w Chinnesha</t>
  </si>
  <si>
    <t>Iqra TRAINING</t>
  </si>
  <si>
    <t>11a-7p f12 w Daria</t>
  </si>
  <si>
    <t>11a-7p f12 w Kavya</t>
  </si>
  <si>
    <t>2p-7p f12 w Kavya</t>
  </si>
  <si>
    <t>Sagar - Intern wk2</t>
  </si>
  <si>
    <t>8a-1pm IBU ops + registration</t>
  </si>
  <si>
    <t>Sohan Fast track intern w5</t>
  </si>
  <si>
    <t>11a-3p w F/A help registration</t>
  </si>
  <si>
    <t>9a-5p w  F/A help registration</t>
  </si>
  <si>
    <t>11a-6p w F/A help reg &amp; comp</t>
  </si>
  <si>
    <t>8a-9 ibu ops/ 9a-11 fran</t>
  </si>
  <si>
    <t>8a-11a registration</t>
  </si>
  <si>
    <t>3p-7p set-up</t>
  </si>
  <si>
    <t>9:15a-3:15p registration</t>
  </si>
  <si>
    <t>8:30a-3p f9 Crowd control</t>
  </si>
  <si>
    <t>Rm 1001 Prof BOON - 11a-3:30p / 1002-1003 Workshop 8a-6p</t>
  </si>
  <si>
    <t xml:space="preserve"> Set-up Classrooms on 10th Floor IN THE EVENING</t>
  </si>
  <si>
    <t>F10 classes all day / SET-UP 8TH FLOOR FROM THE MORNING / Xmas Party 6p-10p FLOOR 8</t>
  </si>
  <si>
    <t>10a-5</t>
  </si>
  <si>
    <t>Lawrence 9p-7a</t>
  </si>
  <si>
    <r>
      <t xml:space="preserve">CC 12p-7p </t>
    </r>
    <r>
      <rPr>
        <b/>
        <sz val="11"/>
        <color theme="7"/>
        <rFont val="Aptos Narrow"/>
        <family val="2"/>
      </rPr>
      <t>B@2</t>
    </r>
  </si>
  <si>
    <t>CC f12 4p-7p</t>
  </si>
  <si>
    <r>
      <t xml:space="preserve">CC 12p-7p f12 </t>
    </r>
    <r>
      <rPr>
        <b/>
        <sz val="11"/>
        <color theme="7"/>
        <rFont val="Aptos Narrow"/>
        <family val="2"/>
        <scheme val="minor"/>
      </rPr>
      <t>B@3:30p</t>
    </r>
  </si>
  <si>
    <t>CC 11a-7p f8</t>
  </si>
  <si>
    <t>8a-1p f10</t>
  </si>
  <si>
    <r>
      <t xml:space="preserve">11a-7p f9 </t>
    </r>
    <r>
      <rPr>
        <b/>
        <sz val="11"/>
        <color theme="7"/>
        <rFont val="Aptos Narrow"/>
        <family val="2"/>
        <scheme val="minor"/>
      </rPr>
      <t>B@2:30p</t>
    </r>
  </si>
  <si>
    <t>8a-4p f9</t>
  </si>
  <si>
    <t>CC 4p-7p f8</t>
  </si>
  <si>
    <t>CC 8a-1p f12</t>
  </si>
  <si>
    <r>
      <t xml:space="preserve">CC 8a-12p f8 </t>
    </r>
    <r>
      <rPr>
        <b/>
        <sz val="11"/>
        <color theme="7"/>
        <rFont val="Aptos Narrow"/>
        <family val="2"/>
        <scheme val="minor"/>
      </rPr>
      <t xml:space="preserve">B@12/ </t>
    </r>
    <r>
      <rPr>
        <b/>
        <sz val="11"/>
        <color rgb="FFFF0000"/>
        <rFont val="Aptos Narrow"/>
        <family val="2"/>
        <scheme val="minor"/>
      </rPr>
      <t>12:30-6p f12</t>
    </r>
  </si>
  <si>
    <r>
      <t xml:space="preserve">8a-2p f8/ </t>
    </r>
    <r>
      <rPr>
        <b/>
        <sz val="11"/>
        <color theme="7"/>
        <rFont val="Aptos Narrow"/>
        <family val="2"/>
      </rPr>
      <t>B@1</t>
    </r>
    <r>
      <rPr>
        <b/>
        <sz val="11"/>
        <color theme="1"/>
        <rFont val="Aptos Narrow"/>
        <family val="2"/>
      </rPr>
      <t xml:space="preserve">/ </t>
    </r>
    <r>
      <rPr>
        <b/>
        <sz val="11"/>
        <color rgb="FFFF0000"/>
        <rFont val="Aptos Narrow"/>
        <family val="2"/>
      </rPr>
      <t>CC f12 2-2:30</t>
    </r>
    <r>
      <rPr>
        <b/>
        <sz val="11"/>
        <color theme="1"/>
        <rFont val="Aptos Narrow"/>
        <family val="2"/>
      </rPr>
      <t>/ 2:30-3 f9</t>
    </r>
  </si>
  <si>
    <t>CC 12p-6 f12 / CC6-7p f9</t>
  </si>
  <si>
    <t>2p-6p f8</t>
  </si>
  <si>
    <t>3:30p-7p f9</t>
  </si>
  <si>
    <t>8a-11a f9</t>
  </si>
  <si>
    <t>8a-4p f10/ 4-6pm f9</t>
  </si>
  <si>
    <t>11a-7p f9</t>
  </si>
  <si>
    <t>CC12:30-4p f12</t>
  </si>
  <si>
    <t>2p-7p f9</t>
  </si>
  <si>
    <t>4p-6p f8/ 6-7 closing rest of campus/ 7p-12am event, Campus Reset</t>
  </si>
  <si>
    <t>9a-5p INV</t>
  </si>
  <si>
    <r>
      <t xml:space="preserve">12p-2p f9/ </t>
    </r>
    <r>
      <rPr>
        <b/>
        <sz val="11"/>
        <color theme="8"/>
        <rFont val="Aptos Narrow"/>
        <family val="2"/>
        <scheme val="minor"/>
      </rPr>
      <t>2-7p set-up &amp; clean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(cover CC@3:30p)</t>
    </r>
  </si>
  <si>
    <t>11a-4p f9</t>
  </si>
  <si>
    <r>
      <rPr>
        <b/>
        <sz val="11"/>
        <rFont val="Aptos Narrow"/>
        <family val="2"/>
      </rPr>
      <t>11a-12p walk/check the buildings/</t>
    </r>
    <r>
      <rPr>
        <b/>
        <sz val="11"/>
        <color rgb="FFFF0000"/>
        <rFont val="Aptos Narrow"/>
        <family val="2"/>
      </rPr>
      <t xml:space="preserve"> CC 12p-4p f8</t>
    </r>
  </si>
  <si>
    <t xml:space="preserve"> 8a-11a f8/ 4p-7p f10</t>
  </si>
  <si>
    <t>12-1pm - setup -reg</t>
  </si>
  <si>
    <t>2p-7p f9 TR w Daria</t>
  </si>
  <si>
    <t>3:30-7p f9 TR w Osmaro</t>
  </si>
  <si>
    <t>2p-7p f9 TR w Osmaro</t>
  </si>
  <si>
    <t>CC TR 12p-7p f8</t>
  </si>
  <si>
    <t>CC TR 12p-7p f12</t>
  </si>
  <si>
    <t>CC TR w Kavya 12p-7p</t>
  </si>
  <si>
    <t>Sagar - Intern wk1</t>
  </si>
  <si>
    <t>w Fran 10a-11</t>
  </si>
  <si>
    <t>8a-1:30p w Adonis</t>
  </si>
  <si>
    <t>8a-12p TR IBU support</t>
  </si>
  <si>
    <t>8a-1a TR IBU support</t>
  </si>
  <si>
    <t>Jyoti Intern wk 7</t>
  </si>
  <si>
    <t>9a-5 w fran</t>
  </si>
  <si>
    <t>12p-4 (rest hours next wk)</t>
  </si>
  <si>
    <t>Sohan Fast track intern w4</t>
  </si>
  <si>
    <t>CC f12 8a-3:30p</t>
  </si>
  <si>
    <t>9p-12a RESET w Osmaro &amp; ibu ops</t>
  </si>
  <si>
    <t>9a-4pm f10 Desk</t>
  </si>
  <si>
    <t>1pm-6p f10 desk</t>
  </si>
  <si>
    <t>k</t>
  </si>
  <si>
    <t>Chess Tournament 1001 - 3to5</t>
  </si>
  <si>
    <t>Chess Tournament 1001- 11:30 to 1:30</t>
  </si>
  <si>
    <r>
      <rPr>
        <b/>
        <sz val="10"/>
        <color rgb="FFFF0000"/>
        <rFont val="Aptos Narrow"/>
        <family val="2"/>
      </rPr>
      <t xml:space="preserve">Career services networking event 80ppl -- </t>
    </r>
    <r>
      <rPr>
        <b/>
        <sz val="10"/>
        <color rgb="FF000000"/>
        <rFont val="Aptos Narrow"/>
        <family val="2"/>
      </rPr>
      <t xml:space="preserve">4:30pm - 8:00 pm - </t>
    </r>
    <r>
      <rPr>
        <b/>
        <sz val="10"/>
        <color rgb="FFFF0000"/>
        <rFont val="Aptos Narrow"/>
        <family val="2"/>
      </rPr>
      <t>1001+2</t>
    </r>
  </si>
  <si>
    <t>Julien's class in 1003</t>
  </si>
  <si>
    <t>9a-7:30</t>
  </si>
  <si>
    <t>9a-3p offsite/ 3-5p</t>
  </si>
  <si>
    <t>8a-8:30p</t>
  </si>
  <si>
    <t>10:30a-3:30p offisite / 9p-3a Lawrence</t>
  </si>
  <si>
    <t>Lawrence 9p-3a</t>
  </si>
  <si>
    <t xml:space="preserve">Lieu </t>
  </si>
  <si>
    <r>
      <rPr>
        <sz val="11"/>
        <color rgb="FF000000"/>
        <rFont val="Aptos Narrow"/>
        <family val="2"/>
        <scheme val="minor"/>
      </rPr>
      <t>8-12:30p f9 /</t>
    </r>
    <r>
      <rPr>
        <b/>
        <sz val="11"/>
        <color rgb="FF44B3E1"/>
        <rFont val="Aptos Narrow"/>
        <family val="2"/>
        <scheme val="minor"/>
      </rPr>
      <t xml:space="preserve"> B@12:30/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1-4 CC f12</t>
    </r>
  </si>
  <si>
    <r>
      <t xml:space="preserve">12p-3:30p CC/ </t>
    </r>
    <r>
      <rPr>
        <b/>
        <sz val="11"/>
        <color theme="7"/>
        <rFont val="Aptos Narrow"/>
        <family val="2"/>
      </rPr>
      <t>B@3:30</t>
    </r>
    <r>
      <rPr>
        <b/>
        <sz val="11"/>
        <color theme="1"/>
        <rFont val="Aptos Narrow"/>
        <family val="2"/>
      </rPr>
      <t>/ 4-7 f9</t>
    </r>
  </si>
  <si>
    <t>12p-3:30p CC f8</t>
  </si>
  <si>
    <t>8-12 f9</t>
  </si>
  <si>
    <t>8a-12:30p</t>
  </si>
  <si>
    <t>INV 8a-5pm</t>
  </si>
  <si>
    <r>
      <rPr>
        <b/>
        <sz val="11"/>
        <color rgb="FF000000"/>
        <rFont val="Aptos Narrow"/>
        <family val="2"/>
      </rPr>
      <t xml:space="preserve">9:30a-12:30 fran/12:30p-1p f8/ </t>
    </r>
    <r>
      <rPr>
        <b/>
        <sz val="11"/>
        <color rgb="FFFF0000"/>
        <rFont val="Aptos Narrow"/>
        <family val="2"/>
      </rPr>
      <t>CC 1-3:30p</t>
    </r>
    <r>
      <rPr>
        <b/>
        <sz val="11"/>
        <color rgb="FF000000"/>
        <rFont val="Aptos Narrow"/>
        <family val="2"/>
      </rPr>
      <t xml:space="preserve">/ </t>
    </r>
    <r>
      <rPr>
        <b/>
        <sz val="11"/>
        <color rgb="FF0F9ED5"/>
        <rFont val="Aptos Narrow"/>
        <family val="2"/>
      </rPr>
      <t>B@3:30 /</t>
    </r>
    <r>
      <rPr>
        <b/>
        <sz val="11"/>
        <color rgb="FF000000"/>
        <rFont val="Aptos Narrow"/>
        <family val="2"/>
      </rPr>
      <t xml:space="preserve">  4-6 f9</t>
    </r>
  </si>
  <si>
    <r>
      <rPr>
        <b/>
        <sz val="11"/>
        <color rgb="FFFF0000"/>
        <rFont val="Aptos Narrow"/>
        <family val="2"/>
        <scheme val="minor"/>
      </rPr>
      <t>CC 1-1:30/</t>
    </r>
    <r>
      <rPr>
        <b/>
        <sz val="11"/>
        <color theme="8"/>
        <rFont val="Aptos Narrow"/>
        <family val="2"/>
        <scheme val="minor"/>
      </rPr>
      <t xml:space="preserve"> 1:30-9:30 event</t>
    </r>
  </si>
  <si>
    <r>
      <t xml:space="preserve">11- 7p CC f9 </t>
    </r>
    <r>
      <rPr>
        <b/>
        <sz val="11"/>
        <color theme="7"/>
        <rFont val="Aptos Narrow"/>
        <family val="2"/>
        <scheme val="minor"/>
      </rPr>
      <t>B@3:30</t>
    </r>
  </si>
  <si>
    <t>CC 9:30a-12p</t>
  </si>
  <si>
    <t>11a- 7 CCf12</t>
  </si>
  <si>
    <t>12:30p-7p f9</t>
  </si>
  <si>
    <t>12:30p-4p f9/ 4-6f8</t>
  </si>
  <si>
    <t>3:30-7 CC f12</t>
  </si>
  <si>
    <r>
      <rPr>
        <b/>
        <sz val="11"/>
        <color rgb="FFFF0000"/>
        <rFont val="Aptos Narrow"/>
        <family val="2"/>
        <scheme val="minor"/>
      </rPr>
      <t xml:space="preserve">8-3pm CC f12 </t>
    </r>
    <r>
      <rPr>
        <b/>
        <sz val="11"/>
        <color rgb="FF44B3E1"/>
        <rFont val="Aptos Narrow"/>
        <family val="2"/>
        <scheme val="minor"/>
      </rPr>
      <t>B@1</t>
    </r>
  </si>
  <si>
    <r>
      <t>CC 8a-2p f8</t>
    </r>
    <r>
      <rPr>
        <b/>
        <sz val="11"/>
        <color theme="7"/>
        <rFont val="Aptos Narrow"/>
        <family val="2"/>
      </rPr>
      <t xml:space="preserve"> B@2p</t>
    </r>
    <r>
      <rPr>
        <b/>
        <sz val="11"/>
        <color rgb="FFFF0000"/>
        <rFont val="Aptos Narrow"/>
        <family val="2"/>
      </rPr>
      <t xml:space="preserve">/ </t>
    </r>
    <r>
      <rPr>
        <b/>
        <sz val="11"/>
        <color theme="1"/>
        <rFont val="Aptos Narrow"/>
        <family val="2"/>
      </rPr>
      <t>2:30-6p f8</t>
    </r>
  </si>
  <si>
    <t>8a-4p f9/ 4-6p f8/ 6-7 f9</t>
  </si>
  <si>
    <t>3:30p-7pf9</t>
  </si>
  <si>
    <t>8-12 CCf12</t>
  </si>
  <si>
    <t>CC 3:30p-7p</t>
  </si>
  <si>
    <t>CC 2p-2:30p f8/ 2:30-7p f12</t>
  </si>
  <si>
    <t xml:space="preserve">8a-12:30pm f8 </t>
  </si>
  <si>
    <t>8-4p f8</t>
  </si>
  <si>
    <t>8a-4 f8</t>
  </si>
  <si>
    <t xml:space="preserve">Leonardo </t>
  </si>
  <si>
    <t>12p-6pm f8</t>
  </si>
  <si>
    <t>12:30p-4p f8</t>
  </si>
  <si>
    <r>
      <t xml:space="preserve">12p-3:30p f9/ </t>
    </r>
    <r>
      <rPr>
        <b/>
        <sz val="11"/>
        <color theme="7"/>
        <rFont val="Aptos Narrow"/>
        <family val="2"/>
        <scheme val="minor"/>
      </rPr>
      <t>B@3:30</t>
    </r>
    <r>
      <rPr>
        <sz val="11"/>
        <rFont val="Aptos Narrow"/>
        <family val="2"/>
        <scheme val="minor"/>
      </rPr>
      <t>/ 4-6f8</t>
    </r>
  </si>
  <si>
    <t>Jyoti Intern wk 6</t>
  </si>
  <si>
    <t xml:space="preserve">9:30-5pm Fran </t>
  </si>
  <si>
    <t>9:30a-2:30p with Fran</t>
  </si>
  <si>
    <t>12-3 with Fran</t>
  </si>
  <si>
    <t>Aya Intern wk 7 - pending hrs last weeks</t>
  </si>
  <si>
    <t xml:space="preserve">10-3pm Fran </t>
  </si>
  <si>
    <t xml:space="preserve">12-8 - Fran and events </t>
  </si>
  <si>
    <t>10:30am-3:30 Fran (will do next week)</t>
  </si>
  <si>
    <t>Sohan Fast track intern w3</t>
  </si>
  <si>
    <t>8a-1p desk</t>
  </si>
  <si>
    <t>11a-7p f9 desk</t>
  </si>
  <si>
    <t>1p-7p desk</t>
  </si>
  <si>
    <t>4p-9p event</t>
  </si>
  <si>
    <t>2p-5p reset floors + cleaning</t>
  </si>
  <si>
    <t>1p-9p Ibu ops + event set up and reset</t>
  </si>
  <si>
    <t>CIBC- Literacy Seminar - 807</t>
  </si>
  <si>
    <t>Mental health support/ 1001- 10-4pm</t>
  </si>
  <si>
    <t>Puppy Therapy -1001-10-4pm/ Reset Julien's class</t>
  </si>
  <si>
    <t>9:30-6pm</t>
  </si>
  <si>
    <t>9a-5p/ Lawrence 9p-5am</t>
  </si>
  <si>
    <t>9p-3am Law</t>
  </si>
  <si>
    <t>8-3:30p CC f12</t>
  </si>
  <si>
    <t>8-11:30am CCf10</t>
  </si>
  <si>
    <t>11:30-7p CC f12</t>
  </si>
  <si>
    <t>4:30p-7p f9</t>
  </si>
  <si>
    <t>8-4:30pm f9</t>
  </si>
  <si>
    <t>8- 12pm f9</t>
  </si>
  <si>
    <r>
      <t xml:space="preserve">8a-6p CC f8 </t>
    </r>
    <r>
      <rPr>
        <b/>
        <sz val="11"/>
        <color rgb="FF44B3E1"/>
        <rFont val="Aptos Narrow"/>
        <family val="2"/>
      </rPr>
      <t>B@11:30</t>
    </r>
  </si>
  <si>
    <r>
      <t xml:space="preserve">11-7pm CCf12 </t>
    </r>
    <r>
      <rPr>
        <b/>
        <sz val="11"/>
        <color rgb="FF44B3E1"/>
        <rFont val="Aptos Narrow"/>
        <family val="2"/>
      </rPr>
      <t>B@3</t>
    </r>
  </si>
  <si>
    <r>
      <t xml:space="preserve">11-7pm CCf10 </t>
    </r>
    <r>
      <rPr>
        <b/>
        <sz val="11"/>
        <color rgb="FF44B3E1"/>
        <rFont val="Aptos Narrow"/>
        <family val="2"/>
      </rPr>
      <t>B@3:30</t>
    </r>
  </si>
  <si>
    <t>11:30a-6pf8</t>
  </si>
  <si>
    <t xml:space="preserve">8-12pm CCf12/ </t>
  </si>
  <si>
    <r>
      <rPr>
        <b/>
        <sz val="11"/>
        <color rgb="FFFF0000"/>
        <rFont val="Aptos Narrow"/>
        <family val="2"/>
        <scheme val="minor"/>
      </rPr>
      <t xml:space="preserve">12-7pm CC f12 </t>
    </r>
    <r>
      <rPr>
        <b/>
        <sz val="11"/>
        <color rgb="FF44B3E1"/>
        <rFont val="Aptos Narrow"/>
        <family val="2"/>
        <scheme val="minor"/>
      </rPr>
      <t>B@2:30</t>
    </r>
  </si>
  <si>
    <t xml:space="preserve">8a-3:30p B@1p CCf12 </t>
  </si>
  <si>
    <t>8-6pm f8</t>
  </si>
  <si>
    <t>11a-3:30p f9</t>
  </si>
  <si>
    <t>4p-7p f9</t>
  </si>
  <si>
    <t>8a-11:30a f8</t>
  </si>
  <si>
    <r>
      <t xml:space="preserve">1p-3p proj/ </t>
    </r>
    <r>
      <rPr>
        <b/>
        <sz val="11"/>
        <color theme="7"/>
        <rFont val="Aptos Narrow"/>
        <family val="2"/>
        <scheme val="minor"/>
      </rPr>
      <t xml:space="preserve">B@3/ </t>
    </r>
    <r>
      <rPr>
        <sz val="11"/>
        <rFont val="Aptos Narrow"/>
        <family val="2"/>
        <scheme val="minor"/>
      </rPr>
      <t>3:30p-7p f9</t>
    </r>
  </si>
  <si>
    <t>12-6pm f8 b@4pm</t>
  </si>
  <si>
    <t>8a-2pm f8</t>
  </si>
  <si>
    <t>1p-3 f9/ 3-5p w fran</t>
  </si>
  <si>
    <r>
      <rPr>
        <b/>
        <sz val="11"/>
        <color rgb="FFFF0000"/>
        <rFont val="Aptos Narrow"/>
        <family val="2"/>
      </rPr>
      <t xml:space="preserve">12:30 - 4pm CCf12 </t>
    </r>
    <r>
      <rPr>
        <b/>
        <sz val="11"/>
        <color rgb="FF44B3E1"/>
        <rFont val="Aptos Narrow"/>
        <family val="2"/>
      </rPr>
      <t xml:space="preserve">B@4-4:30/ </t>
    </r>
    <r>
      <rPr>
        <b/>
        <sz val="11"/>
        <color rgb="FF000000"/>
        <rFont val="Aptos Narrow"/>
        <family val="2"/>
      </rPr>
      <t>4:30-7pm f9</t>
    </r>
  </si>
  <si>
    <t>12:30p-4p CC</t>
  </si>
  <si>
    <t>1p-5p w fran</t>
  </si>
  <si>
    <r>
      <t>12:30-7p CC f12</t>
    </r>
    <r>
      <rPr>
        <b/>
        <sz val="11"/>
        <color theme="7"/>
        <rFont val="Aptos Narrow"/>
        <family val="2"/>
        <scheme val="minor"/>
      </rPr>
      <t xml:space="preserve"> B@3:30p</t>
    </r>
  </si>
  <si>
    <t>10- 2pm inventories</t>
  </si>
  <si>
    <t>8:30a-11:30 projs/ 11:30a-4p f9 /4-4:30 f8/ 4:30-5 proj</t>
  </si>
  <si>
    <t>1-3:30 f/ 3:30-6 f8</t>
  </si>
  <si>
    <t xml:space="preserve">11-12p f8/ 12-7p f9 </t>
  </si>
  <si>
    <t>Sri</t>
  </si>
  <si>
    <t>8a-1 f9/ B@1/ 1:30-3 w fran/ 3-5 f9</t>
  </si>
  <si>
    <t>8a-11a f9/ B@11 / 11:30-1:30p- Projects</t>
  </si>
  <si>
    <t>8a-1p  f9</t>
  </si>
  <si>
    <t xml:space="preserve">8- 12pm f8 </t>
  </si>
  <si>
    <t>C/o</t>
  </si>
  <si>
    <t>Jyoti Intern wk5</t>
  </si>
  <si>
    <t xml:space="preserve">8-3:30p CC f12 TR </t>
  </si>
  <si>
    <t xml:space="preserve">8-1p CC f12 TR </t>
  </si>
  <si>
    <t>12p-3p CC f12 TR</t>
  </si>
  <si>
    <t>Aya Intern wk 6</t>
  </si>
  <si>
    <t>10:30a-3p w fran</t>
  </si>
  <si>
    <t>12 - 4:30pm with Fran</t>
  </si>
  <si>
    <t>Sohan Fast track intern wk2</t>
  </si>
  <si>
    <t>8a-1p IBU OPS</t>
  </si>
  <si>
    <t>8a-12p Event+ IBU OPS/ 12p-1pm f9 DESK TR</t>
  </si>
  <si>
    <t>8a-4:30desk/ 4:30-6:30p f9 fran</t>
  </si>
  <si>
    <t>8a-11:30am f9 desk</t>
  </si>
  <si>
    <t>1- 5pm event +IBU ops</t>
  </si>
  <si>
    <t>8-5pm event+ IBU ops</t>
  </si>
  <si>
    <r>
      <rPr>
        <b/>
        <sz val="8"/>
        <color rgb="FF000000"/>
        <rFont val="Aptos Narrow"/>
        <family val="2"/>
        <scheme val="minor"/>
      </rPr>
      <t xml:space="preserve">11AM Rememberance Day Ceremony 10th F 1002 + </t>
    </r>
    <r>
      <rPr>
        <b/>
        <sz val="8"/>
        <color rgb="FFFF0000"/>
        <rFont val="Aptos Narrow"/>
        <family val="2"/>
        <scheme val="minor"/>
      </rPr>
      <t>Entrepreneurial Mindset &amp; Capstone Committee Meeting 10 - 12pm - 1003</t>
    </r>
  </si>
  <si>
    <t>Career Services - Career Cafe - 1001</t>
  </si>
  <si>
    <t>Reset for Julien class- 1003</t>
  </si>
  <si>
    <t>Setup for Brenda quiz - 20 tables 40 chairs - 1001</t>
  </si>
  <si>
    <t>Brenda Quiz 8 am - 3pm - 1001</t>
  </si>
  <si>
    <t>9:30-7p</t>
  </si>
  <si>
    <t>9a-11a Vega/ 11a-6:30p</t>
  </si>
  <si>
    <r>
      <rPr>
        <b/>
        <sz val="11"/>
        <color rgb="FF000000"/>
        <rFont val="Aptos Narrow"/>
        <family val="2"/>
      </rPr>
      <t>8- 4pm f9</t>
    </r>
    <r>
      <rPr>
        <b/>
        <sz val="11"/>
        <color rgb="FF0F9ED5"/>
        <rFont val="Aptos Narrow"/>
        <family val="2"/>
      </rPr>
      <t xml:space="preserve"> B @1</t>
    </r>
  </si>
  <si>
    <r>
      <rPr>
        <b/>
        <sz val="11"/>
        <color rgb="FFFF0000"/>
        <rFont val="Aptos Narrow"/>
        <family val="2"/>
      </rPr>
      <t xml:space="preserve">CC 8- 4pm f12 </t>
    </r>
    <r>
      <rPr>
        <b/>
        <sz val="11"/>
        <color rgb="FF0F9ED5"/>
        <rFont val="Aptos Narrow"/>
        <family val="2"/>
      </rPr>
      <t>B @1</t>
    </r>
  </si>
  <si>
    <t>8a-11:30am f9 no break</t>
  </si>
  <si>
    <r>
      <t xml:space="preserve">8a-2pf9  </t>
    </r>
    <r>
      <rPr>
        <b/>
        <sz val="11"/>
        <color theme="7"/>
        <rFont val="Aptos Narrow"/>
        <family val="2"/>
        <scheme val="minor"/>
      </rPr>
      <t>B@11a</t>
    </r>
  </si>
  <si>
    <t>9-10am Event / 10 -3 inventory</t>
  </si>
  <si>
    <t>11:30a- 4p f9/ 4-6pm f8</t>
  </si>
  <si>
    <r>
      <t xml:space="preserve">CC 8- 6pm f8 </t>
    </r>
    <r>
      <rPr>
        <b/>
        <sz val="11"/>
        <color rgb="FF0F9ED5"/>
        <rFont val="Aptos Narrow"/>
        <family val="2"/>
      </rPr>
      <t>B @11:30a</t>
    </r>
  </si>
  <si>
    <r>
      <rPr>
        <b/>
        <sz val="11"/>
        <color rgb="FF000000"/>
        <rFont val="Aptos Narrow"/>
        <family val="2"/>
      </rPr>
      <t>8- 3:30pm f9</t>
    </r>
    <r>
      <rPr>
        <b/>
        <sz val="11"/>
        <color rgb="FF0F9ED5"/>
        <rFont val="Aptos Narrow"/>
        <family val="2"/>
      </rPr>
      <t xml:space="preserve"> B @1</t>
    </r>
  </si>
  <si>
    <t>10 -3 inventory</t>
  </si>
  <si>
    <t>12:30-3pm proj</t>
  </si>
  <si>
    <t>8-12:30p f9/ B@12:30/ 1p-2:30pm proj</t>
  </si>
  <si>
    <r>
      <t xml:space="preserve">CC 8- 4pm f12 </t>
    </r>
    <r>
      <rPr>
        <b/>
        <sz val="11"/>
        <color rgb="FF0F9ED5"/>
        <rFont val="Aptos Narrow"/>
        <family val="2"/>
      </rPr>
      <t>B @1</t>
    </r>
  </si>
  <si>
    <t>4-7pm f9</t>
  </si>
  <si>
    <r>
      <t xml:space="preserve">CC 12p-7pm f12 </t>
    </r>
    <r>
      <rPr>
        <b/>
        <sz val="11"/>
        <color rgb="FF0F9ED5"/>
        <rFont val="Aptos Narrow"/>
        <family val="2"/>
        <scheme val="minor"/>
      </rPr>
      <t>b@2:30pm</t>
    </r>
  </si>
  <si>
    <r>
      <rPr>
        <b/>
        <sz val="11"/>
        <color rgb="FFFF0000"/>
        <rFont val="Aptos Narrow"/>
        <family val="2"/>
      </rPr>
      <t xml:space="preserve">CC 8- 3:30pm f12 </t>
    </r>
    <r>
      <rPr>
        <b/>
        <sz val="11"/>
        <color rgb="FF0F9ED5"/>
        <rFont val="Aptos Narrow"/>
        <family val="2"/>
      </rPr>
      <t>B @1</t>
    </r>
  </si>
  <si>
    <t>3-3:30 f8 / 3:30- 7pm f9</t>
  </si>
  <si>
    <t>3:30-4 f8 / 4- 7pm f9</t>
  </si>
  <si>
    <r>
      <rPr>
        <b/>
        <sz val="11"/>
        <color rgb="FFFF0000"/>
        <rFont val="Aptos Narrow"/>
        <family val="2"/>
      </rPr>
      <t xml:space="preserve">CC 12:30- 7 f12 </t>
    </r>
    <r>
      <rPr>
        <b/>
        <sz val="11"/>
        <color rgb="FF0F9ED5"/>
        <rFont val="Aptos Narrow"/>
        <family val="2"/>
      </rPr>
      <t>B@3:30</t>
    </r>
  </si>
  <si>
    <t>1p-4p f8</t>
  </si>
  <si>
    <r>
      <rPr>
        <b/>
        <sz val="11"/>
        <color rgb="FFFF0000"/>
        <rFont val="Aptos Narrow"/>
        <family val="2"/>
        <scheme val="minor"/>
      </rPr>
      <t xml:space="preserve">CC 8am - 3pm  f12 </t>
    </r>
    <r>
      <rPr>
        <b/>
        <sz val="11"/>
        <color rgb="FF0F9ED5"/>
        <rFont val="Aptos Narrow"/>
        <family val="2"/>
        <scheme val="minor"/>
      </rPr>
      <t>b@1pm</t>
    </r>
  </si>
  <si>
    <r>
      <rPr>
        <b/>
        <sz val="11"/>
        <rFont val="Aptos Narrow"/>
        <family val="2"/>
      </rPr>
      <t>11a-11:30 f9/</t>
    </r>
    <r>
      <rPr>
        <b/>
        <sz val="11"/>
        <color rgb="FFFF0000"/>
        <rFont val="Aptos Narrow"/>
        <family val="2"/>
      </rPr>
      <t xml:space="preserve"> CC 11:30-12p f8/ CC f12 12p-1:30p/</t>
    </r>
    <r>
      <rPr>
        <b/>
        <sz val="11"/>
        <color theme="7"/>
        <rFont val="Aptos Narrow"/>
        <family val="2"/>
      </rPr>
      <t xml:space="preserve"> B@1:30</t>
    </r>
    <r>
      <rPr>
        <b/>
        <sz val="11"/>
        <color rgb="FFFF0000"/>
        <rFont val="Aptos Narrow"/>
        <family val="2"/>
      </rPr>
      <t>/</t>
    </r>
    <r>
      <rPr>
        <b/>
        <sz val="11"/>
        <rFont val="Aptos Narrow"/>
        <family val="2"/>
      </rPr>
      <t xml:space="preserve"> 2p-4p f9</t>
    </r>
    <r>
      <rPr>
        <b/>
        <sz val="11"/>
        <color rgb="FFFF0000"/>
        <rFont val="Aptos Narrow"/>
        <family val="2"/>
      </rPr>
      <t xml:space="preserve">/ CC f12 4p-7p </t>
    </r>
  </si>
  <si>
    <t>8 - 6pm f8</t>
  </si>
  <si>
    <t>8a-11:30a</t>
  </si>
  <si>
    <r>
      <t xml:space="preserve">CC 11- 7 f12 </t>
    </r>
    <r>
      <rPr>
        <b/>
        <sz val="11"/>
        <color rgb="FF0F9ED5"/>
        <rFont val="Aptos Narrow"/>
        <family val="2"/>
      </rPr>
      <t>B@3</t>
    </r>
  </si>
  <si>
    <r>
      <t xml:space="preserve">CC 11- 7 f12 </t>
    </r>
    <r>
      <rPr>
        <b/>
        <sz val="11"/>
        <color rgb="FF0F9ED5"/>
        <rFont val="Aptos Narrow"/>
        <family val="2"/>
      </rPr>
      <t>B@3:30p</t>
    </r>
  </si>
  <si>
    <r>
      <rPr>
        <b/>
        <sz val="11"/>
        <color rgb="FFFF0000"/>
        <rFont val="Aptos Narrow"/>
        <family val="2"/>
        <scheme val="minor"/>
      </rPr>
      <t xml:space="preserve">CC 11- 7 f12 </t>
    </r>
    <r>
      <rPr>
        <b/>
        <sz val="11"/>
        <color rgb="FF0F9ED5"/>
        <rFont val="Aptos Narrow"/>
        <family val="2"/>
        <scheme val="minor"/>
      </rPr>
      <t>B@3</t>
    </r>
  </si>
  <si>
    <t xml:space="preserve">8-12pm f8 </t>
  </si>
  <si>
    <t>11:30a-6p f8</t>
  </si>
  <si>
    <t>12-6pm f8 B @3</t>
  </si>
  <si>
    <t xml:space="preserve">8- 6pm f8 </t>
  </si>
  <si>
    <t>8-12pm f9/ 4p-7p f9</t>
  </si>
  <si>
    <t>Jyoti Intern wk4</t>
  </si>
  <si>
    <t>3p-7p f9</t>
  </si>
  <si>
    <t>10a-3p inv w Sri &amp; Pablo</t>
  </si>
  <si>
    <t>8a-2:30p w SRI f9</t>
  </si>
  <si>
    <t>Aya Intern wk 5</t>
  </si>
  <si>
    <t>CCf12 8a-1pm TR w Chinnesha</t>
  </si>
  <si>
    <t>8a-1p CC f12 TR w Kavya</t>
  </si>
  <si>
    <t>8a-1p CCf12 TR w Daria</t>
  </si>
  <si>
    <t>Sohan Fast track intern wk1</t>
  </si>
  <si>
    <t>9a-10a w Aashima/ 10a-3p w Adonis</t>
  </si>
  <si>
    <t>8a-3p w Adonis</t>
  </si>
  <si>
    <t>8a-2:30p w Adonis</t>
  </si>
  <si>
    <t>8a-11a w Adonis</t>
  </si>
  <si>
    <t>8a-11:30a IBU Ops</t>
  </si>
  <si>
    <t>8a-11a IBU OPS</t>
  </si>
  <si>
    <t>8a-12p IBU ops</t>
  </si>
  <si>
    <t xml:space="preserve">Julien 9a-5pm F12 meetingRM / Azim 12pm-3pm rm 1003 / GuardMe Event - SS - Mood &amp; Munch 11am- 2pm(1001-2) + Tea and Talk  11-11:45am (805) / </t>
  </si>
  <si>
    <t>Setup games in 1001- basket ball + carom etc</t>
  </si>
  <si>
    <t>Network with the Best rm 1001 10a-12p</t>
  </si>
  <si>
    <t>9a-7</t>
  </si>
  <si>
    <t>9:30-6p</t>
  </si>
  <si>
    <t xml:space="preserve">9a-5 </t>
  </si>
  <si>
    <t>Sarah</t>
  </si>
  <si>
    <t xml:space="preserve">CC 8a-12p rm 1003 </t>
  </si>
  <si>
    <r>
      <t xml:space="preserve">CC 8a-12p rm 1003 </t>
    </r>
    <r>
      <rPr>
        <sz val="11"/>
        <rFont val="Aptos Narrow"/>
        <family val="2"/>
        <scheme val="minor"/>
      </rPr>
      <t>(8a-9am)</t>
    </r>
  </si>
  <si>
    <r>
      <t xml:space="preserve">CC 8a-12p rm 1003 </t>
    </r>
    <r>
      <rPr>
        <sz val="11"/>
        <rFont val="Aptos Narrow"/>
        <family val="2"/>
        <scheme val="minor"/>
      </rPr>
      <t>C/O</t>
    </r>
  </si>
  <si>
    <t>8a-3:30p f9</t>
  </si>
  <si>
    <t>12p-4p inventories</t>
  </si>
  <si>
    <t>11a-3:30p</t>
  </si>
  <si>
    <r>
      <t xml:space="preserve">CC 8a-4p f12 </t>
    </r>
    <r>
      <rPr>
        <b/>
        <sz val="11"/>
        <color theme="7"/>
        <rFont val="Aptos Narrow"/>
        <family val="2"/>
        <scheme val="minor"/>
      </rPr>
      <t>B@12</t>
    </r>
  </si>
  <si>
    <r>
      <t xml:space="preserve">8a-2p f9 </t>
    </r>
    <r>
      <rPr>
        <b/>
        <sz val="11"/>
        <color theme="7"/>
        <rFont val="Aptos Narrow"/>
        <family val="2"/>
        <scheme val="minor"/>
      </rPr>
      <t>B@12:30p</t>
    </r>
  </si>
  <si>
    <r>
      <t xml:space="preserve">CC 8a-4p f12 </t>
    </r>
    <r>
      <rPr>
        <b/>
        <sz val="11"/>
        <color theme="7"/>
        <rFont val="Aptos Narrow"/>
        <family val="2"/>
        <scheme val="minor"/>
      </rPr>
      <t>B@1</t>
    </r>
  </si>
  <si>
    <r>
      <t>8a-3:30p f9</t>
    </r>
    <r>
      <rPr>
        <b/>
        <sz val="11"/>
        <color theme="7"/>
        <rFont val="Aptos Narrow"/>
        <family val="2"/>
        <scheme val="minor"/>
      </rPr>
      <t xml:space="preserve"> B@1:30pm</t>
    </r>
  </si>
  <si>
    <t>11:30a-7p f9</t>
  </si>
  <si>
    <t>CC 2p-4 f12/ 4-7p f8</t>
  </si>
  <si>
    <t>8a-11:30a f9</t>
  </si>
  <si>
    <t>8a-11:30a f8/ 3:30p-7p f9</t>
  </si>
  <si>
    <r>
      <t xml:space="preserve">CC 11a-7p f12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</si>
  <si>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CC 11a-7p f12 </t>
    </r>
    <r>
      <rPr>
        <b/>
        <sz val="11"/>
        <color theme="7"/>
        <rFont val="Aptos Narrow"/>
        <family val="2"/>
        <scheme val="minor"/>
      </rPr>
      <t>B@3</t>
    </r>
  </si>
  <si>
    <r>
      <t xml:space="preserve">CC 11a-7p f12 </t>
    </r>
    <r>
      <rPr>
        <b/>
        <sz val="11"/>
        <color theme="7"/>
        <rFont val="Aptos Narrow"/>
        <family val="2"/>
        <scheme val="minor"/>
      </rPr>
      <t>B@3:30</t>
    </r>
  </si>
  <si>
    <t>11:30a-4:30p CC f12</t>
  </si>
  <si>
    <t xml:space="preserve">CC 8a-11:30a f12 </t>
  </si>
  <si>
    <t xml:space="preserve">CC 8a-3p f12 </t>
  </si>
  <si>
    <r>
      <t xml:space="preserve">CC 8a-3p f12 </t>
    </r>
    <r>
      <rPr>
        <b/>
        <sz val="11"/>
        <color theme="7"/>
        <rFont val="Aptos Narrow"/>
        <family val="2"/>
        <scheme val="minor"/>
      </rPr>
      <t>B@1p</t>
    </r>
  </si>
  <si>
    <r>
      <rPr>
        <b/>
        <sz val="11"/>
        <color rgb="FFFF0000"/>
        <rFont val="Aptos Narrow"/>
        <family val="2"/>
        <scheme val="minor"/>
      </rPr>
      <t>CC 8a-4p f8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B@2p</t>
    </r>
  </si>
  <si>
    <r>
      <t xml:space="preserve">12:30-1p f9/ 1-1:30 f8/ </t>
    </r>
    <r>
      <rPr>
        <sz val="11"/>
        <color theme="7"/>
        <rFont val="Aptos Narrow"/>
        <family val="2"/>
        <scheme val="minor"/>
      </rPr>
      <t>1:30@B</t>
    </r>
    <r>
      <rPr>
        <sz val="11"/>
        <rFont val="Aptos Narrow"/>
        <family val="2"/>
        <scheme val="minor"/>
      </rPr>
      <t xml:space="preserve"> /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2-7p f9</t>
    </r>
  </si>
  <si>
    <r>
      <rPr>
        <b/>
        <sz val="11"/>
        <rFont val="Aptos Narrow"/>
        <family val="2"/>
        <scheme val="minor"/>
      </rPr>
      <t>1:30-2 f9/2-2:30 w f8/ 2:30-3p w fran /</t>
    </r>
    <r>
      <rPr>
        <b/>
        <sz val="11"/>
        <color theme="7"/>
        <rFont val="Aptos Narrow"/>
        <family val="2"/>
        <scheme val="minor"/>
      </rPr>
      <t>B@3p-3:30p /</t>
    </r>
    <r>
      <rPr>
        <b/>
        <sz val="1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:30p-7p f9 Closer</t>
    </r>
  </si>
  <si>
    <r>
      <t xml:space="preserve">CC 12:30p-7p f12 </t>
    </r>
    <r>
      <rPr>
        <b/>
        <sz val="11"/>
        <color theme="7"/>
        <rFont val="Aptos Narrow"/>
        <family val="2"/>
        <scheme val="minor"/>
      </rPr>
      <t>B@2:30</t>
    </r>
  </si>
  <si>
    <r>
      <t xml:space="preserve">8a-6p f8 </t>
    </r>
    <r>
      <rPr>
        <b/>
        <sz val="11"/>
        <color theme="7"/>
        <rFont val="Aptos Narrow"/>
        <family val="2"/>
        <scheme val="minor"/>
      </rPr>
      <t>B@1p</t>
    </r>
  </si>
  <si>
    <r>
      <t xml:space="preserve">8a-6p f8 </t>
    </r>
    <r>
      <rPr>
        <b/>
        <sz val="11"/>
        <color theme="7"/>
        <rFont val="Aptos Narrow"/>
        <family val="2"/>
        <scheme val="minor"/>
      </rPr>
      <t>B@2p</t>
    </r>
  </si>
  <si>
    <t>Jyoti Intern wk3</t>
  </si>
  <si>
    <t>11a-7p f9 TR</t>
  </si>
  <si>
    <t>9a-2p Tr f9</t>
  </si>
  <si>
    <t>12:30-3p tr f9</t>
  </si>
  <si>
    <t>Aya Intern wk4</t>
  </si>
  <si>
    <t>8a-4p f9 (solo 3-3:30)</t>
  </si>
  <si>
    <t>8a-10a IBU Ops</t>
  </si>
  <si>
    <t>8a-10a event/ 10a-12p help ops</t>
  </si>
  <si>
    <t>READING WEEK / Georgian College exec meet F9 meeting room 10am/ Halloween STAFF  PARTY F10 12p-2p  // TENTATIVE MOU signing rm 1203 1-3pm</t>
  </si>
  <si>
    <t>1st Day of Class</t>
  </si>
  <si>
    <t>Halloween 12 to 2</t>
  </si>
  <si>
    <t>OCTOBER + Marina Bdays 1pm</t>
  </si>
  <si>
    <t>10a-6p</t>
  </si>
  <si>
    <t>9a-5:30p</t>
  </si>
  <si>
    <r>
      <t xml:space="preserve">CC 8a-12p f8 new media rm </t>
    </r>
    <r>
      <rPr>
        <sz val="11"/>
        <rFont val="Aptos Narrow"/>
        <family val="2"/>
        <scheme val="minor"/>
      </rPr>
      <t>*8a-10:20a*</t>
    </r>
  </si>
  <si>
    <t>c/o</t>
  </si>
  <si>
    <t>CC 8a-12p rm 1003</t>
  </si>
  <si>
    <t>11a-1p f9/ 1-7 inventories + projs (3-5pm w Aashima)</t>
  </si>
  <si>
    <t>8a-2:30p f9</t>
  </si>
  <si>
    <t>8a-1p f9 B@1/ 1:30-2:30pm w Aashima proj.)</t>
  </si>
  <si>
    <r>
      <rPr>
        <sz val="11"/>
        <color rgb="FFFF0000"/>
        <rFont val="Aptos Narrow"/>
        <family val="2"/>
        <scheme val="minor"/>
      </rPr>
      <t>3p-3:30 f8/ 3:330-4p CC f12</t>
    </r>
    <r>
      <rPr>
        <sz val="11"/>
        <rFont val="Aptos Narrow"/>
        <family val="2"/>
        <scheme val="minor"/>
      </rPr>
      <t>/ 4-7p f9</t>
    </r>
  </si>
  <si>
    <r>
      <t>CC 8a-4p f8</t>
    </r>
    <r>
      <rPr>
        <b/>
        <sz val="11"/>
        <color theme="7"/>
        <rFont val="Aptos Narrow"/>
        <family val="2"/>
        <scheme val="minor"/>
      </rPr>
      <t xml:space="preserve"> B@1p</t>
    </r>
  </si>
  <si>
    <r>
      <t xml:space="preserve">8a-11a Set-up Campus/ </t>
    </r>
    <r>
      <rPr>
        <sz val="11"/>
        <color theme="7"/>
        <rFont val="Aptos Narrow"/>
        <family val="2"/>
        <scheme val="minor"/>
      </rPr>
      <t>B@11</t>
    </r>
    <r>
      <rPr>
        <sz val="11"/>
        <rFont val="Aptos Narrow"/>
        <family val="2"/>
        <scheme val="minor"/>
      </rPr>
      <t>/ 11:30-3p event/ 3-5pm w Aashima</t>
    </r>
  </si>
  <si>
    <t>8a-4p f9 train Jyoti</t>
  </si>
  <si>
    <t xml:space="preserve">8a-4 MOVE Christina's office to f8 new studio/ re organize </t>
  </si>
  <si>
    <r>
      <t>8a-6p f8</t>
    </r>
    <r>
      <rPr>
        <b/>
        <sz val="11"/>
        <color theme="7"/>
        <rFont val="Aptos Narrow"/>
        <family val="2"/>
        <scheme val="minor"/>
      </rPr>
      <t xml:space="preserve"> B@3p</t>
    </r>
  </si>
  <si>
    <r>
      <rPr>
        <b/>
        <sz val="11"/>
        <color rgb="FFFF0000"/>
        <rFont val="Aptos Narrow"/>
        <family val="2"/>
        <scheme val="minor"/>
      </rPr>
      <t>CC 11a-7pf12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B@3:30</t>
    </r>
  </si>
  <si>
    <r>
      <rPr>
        <b/>
        <sz val="11"/>
        <color rgb="FFFF0000"/>
        <rFont val="Aptos Narrow"/>
        <family val="2"/>
        <scheme val="minor"/>
      </rPr>
      <t>CC 8a-5p f8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B@1:15</t>
    </r>
  </si>
  <si>
    <r>
      <rPr>
        <b/>
        <sz val="11"/>
        <color rgb="FFFF0000"/>
        <rFont val="Aptos Narrow"/>
        <family val="2"/>
        <scheme val="minor"/>
      </rPr>
      <t>CC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8a-5p f9</t>
    </r>
    <r>
      <rPr>
        <b/>
        <sz val="11"/>
        <color theme="7"/>
        <rFont val="Aptos Narrow"/>
        <family val="2"/>
        <scheme val="minor"/>
      </rPr>
      <t xml:space="preserve"> B@12:30p</t>
    </r>
  </si>
  <si>
    <t>CC 8a-11:30a f12</t>
  </si>
  <si>
    <r>
      <rPr>
        <b/>
        <sz val="11"/>
        <color rgb="FFFF0000"/>
        <rFont val="Aptos Narrow"/>
        <family val="2"/>
        <scheme val="minor"/>
      </rPr>
      <t>CC 8a-3p f12</t>
    </r>
    <r>
      <rPr>
        <b/>
        <sz val="11"/>
        <color theme="7"/>
        <rFont val="Aptos Narrow"/>
        <family val="2"/>
        <scheme val="minor"/>
      </rPr>
      <t xml:space="preserve"> B@12:30</t>
    </r>
  </si>
  <si>
    <r>
      <t>CC 11a-7p f12</t>
    </r>
    <r>
      <rPr>
        <b/>
        <sz val="11"/>
        <color theme="7"/>
        <rFont val="Aptos Narrow"/>
        <family val="2"/>
        <scheme val="minor"/>
      </rPr>
      <t xml:space="preserve"> B@3:30p</t>
    </r>
  </si>
  <si>
    <t>2p-2:30 CCf8/ CC 2:30-7p f12</t>
  </si>
  <si>
    <r>
      <rPr>
        <b/>
        <sz val="11"/>
        <color rgb="FFFF0000"/>
        <rFont val="Aptos Narrow"/>
        <family val="2"/>
        <scheme val="minor"/>
      </rPr>
      <t>CC 1p-7p f9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B@3:30</t>
    </r>
  </si>
  <si>
    <r>
      <rPr>
        <sz val="11"/>
        <color rgb="FFFF0000"/>
        <rFont val="Aptos Narrow"/>
        <family val="2"/>
        <scheme val="minor"/>
      </rPr>
      <t>CC 12:30p-1 f9/ CC1-5 f8/CC5-7p f9</t>
    </r>
    <r>
      <rPr>
        <sz val="11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B@3:30</t>
    </r>
  </si>
  <si>
    <r>
      <rPr>
        <b/>
        <sz val="11"/>
        <color rgb="FFFF0000"/>
        <rFont val="Aptos Narrow"/>
        <family val="2"/>
        <scheme val="minor"/>
      </rPr>
      <t xml:space="preserve">CC 12:30p-7p f12 </t>
    </r>
    <r>
      <rPr>
        <b/>
        <sz val="11"/>
        <color theme="7"/>
        <rFont val="Aptos Narrow"/>
        <family val="2"/>
        <scheme val="minor"/>
      </rPr>
      <t>B@2:30</t>
    </r>
  </si>
  <si>
    <r>
      <rPr>
        <b/>
        <sz val="11"/>
        <color rgb="FFFF0000"/>
        <rFont val="Aptos Narrow"/>
        <family val="2"/>
        <scheme val="minor"/>
      </rPr>
      <t>CC 8a-6p f8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7"/>
        <rFont val="Aptos Narrow"/>
        <family val="2"/>
        <scheme val="minor"/>
      </rPr>
      <t>B@2p</t>
    </r>
  </si>
  <si>
    <t>12p-6p f8</t>
  </si>
  <si>
    <t>2-7p f9</t>
  </si>
  <si>
    <r>
      <t>8a-12p f9/</t>
    </r>
    <r>
      <rPr>
        <b/>
        <sz val="11"/>
        <color theme="7"/>
        <rFont val="Aptos Narrow"/>
        <family val="2"/>
        <scheme val="minor"/>
      </rPr>
      <t xml:space="preserve"> B@12</t>
    </r>
    <r>
      <rPr>
        <sz val="11"/>
        <rFont val="Aptos Narrow"/>
        <family val="2"/>
        <scheme val="minor"/>
      </rPr>
      <t>/12:30-2 event</t>
    </r>
  </si>
  <si>
    <t>Jyoti Intern</t>
  </si>
  <si>
    <t>8a-5p w IBU OPS</t>
  </si>
  <si>
    <t>8a-3p TR w Pablo f9 desk</t>
  </si>
  <si>
    <t>Aya Intern</t>
  </si>
  <si>
    <t>12p-2p f9 desk TR</t>
  </si>
  <si>
    <t>8a-4p desk f9 TR</t>
  </si>
  <si>
    <t xml:space="preserve">8a-2p TR f9 </t>
  </si>
  <si>
    <t>8a-3p HELP IBU OPS + EVENT</t>
  </si>
  <si>
    <t>Network with the best : 10:00 to 11: 30 am CS event   +  Setup for Asiye/Michael final exam Venue :1001/2/3</t>
  </si>
  <si>
    <r>
      <rPr>
        <b/>
        <sz val="8"/>
        <color rgb="FFA02B93"/>
        <rFont val="Aptos Narrow"/>
        <family val="2"/>
      </rPr>
      <t>Enterpreneurial Mindset Exec Meet - 1201, 10 - 1pm/</t>
    </r>
    <r>
      <rPr>
        <b/>
        <sz val="8"/>
        <color rgb="FFC00000"/>
        <rFont val="Aptos Narrow"/>
        <family val="2"/>
      </rPr>
      <t>ASAAP meet - 9f Meeting room - 1- 4pm</t>
    </r>
    <r>
      <rPr>
        <sz val="8"/>
        <color rgb="FF000000"/>
        <rFont val="Aptos Narrow"/>
        <family val="2"/>
      </rPr>
      <t>/  EXAMS- 10th floor -1001/2/3</t>
    </r>
  </si>
  <si>
    <t>CLASSES/ EXAMS?</t>
  </si>
  <si>
    <t>Reading week</t>
  </si>
  <si>
    <t xml:space="preserve">Reading week / setup for Saturday </t>
  </si>
  <si>
    <r>
      <rPr>
        <b/>
        <sz val="9"/>
        <color rgb="FF000000"/>
        <rFont val="Aptos Narrow"/>
        <family val="2"/>
        <scheme val="minor"/>
      </rPr>
      <t>Reading week /  EVENT 3p-5p VIP Minister 10F/</t>
    </r>
    <r>
      <rPr>
        <b/>
        <sz val="9"/>
        <color rgb="FFFF0000"/>
        <rFont val="Aptos Narrow"/>
        <family val="2"/>
        <scheme val="minor"/>
      </rPr>
      <t xml:space="preserve"> 5 to 6 VIP meeting - 9th meeting room</t>
    </r>
    <r>
      <rPr>
        <b/>
        <sz val="9"/>
        <color rgb="FF000000"/>
        <rFont val="Aptos Narrow"/>
        <family val="2"/>
        <scheme val="minor"/>
      </rPr>
      <t xml:space="preserve"> </t>
    </r>
  </si>
  <si>
    <t>10:30-4</t>
  </si>
  <si>
    <t>9a-5 1on1 w Leo</t>
  </si>
  <si>
    <t>9a-5 1on1 w Kavya</t>
  </si>
  <si>
    <t>9a-5  1on1 w Marina</t>
  </si>
  <si>
    <t>9a-12 w Sri/ 1-2 w Chineesha/ 2-5 w Sri</t>
  </si>
  <si>
    <t>OFF SITE 6:30a-12:30p</t>
  </si>
  <si>
    <t>12p-5p 1on1 w Aya + event</t>
  </si>
  <si>
    <t>8a-12p f8 new media rm</t>
  </si>
  <si>
    <t>9a-12 Inventories w Aashima/ 12-2:30 solo/ B@2:30/ 3p-5p off site</t>
  </si>
  <si>
    <r>
      <rPr>
        <b/>
        <sz val="11"/>
        <color theme="1"/>
        <rFont val="Aptos Narrow"/>
        <family val="2"/>
        <scheme val="minor"/>
      </rPr>
      <t>8a-11:30 f9/</t>
    </r>
    <r>
      <rPr>
        <sz val="11"/>
        <rFont val="Aptos Narrow"/>
        <family val="2"/>
        <scheme val="minor"/>
      </rPr>
      <t xml:space="preserve"> 12-4p Inventory projs</t>
    </r>
  </si>
  <si>
    <t>8a-5:30 f9</t>
  </si>
  <si>
    <t>INTERN PROJECT 9:30a-2:30p</t>
  </si>
  <si>
    <t>2p-7p f8</t>
  </si>
  <si>
    <t>2:30p-7p f9</t>
  </si>
  <si>
    <t>Set-up CAMPUS 12p-7p</t>
  </si>
  <si>
    <t>Set-up CAMPUS 11a-6p</t>
  </si>
  <si>
    <t>8a-1:30 f9/ B@1:30/ 2-6p f8</t>
  </si>
  <si>
    <t>8a-1p f9 no brk</t>
  </si>
  <si>
    <r>
      <t xml:space="preserve">8a-4p f12 </t>
    </r>
    <r>
      <rPr>
        <sz val="11"/>
        <color rgb="FF0070C0"/>
        <rFont val="Aptos Narrow"/>
        <family val="2"/>
        <scheme val="minor"/>
      </rPr>
      <t>B@1:15</t>
    </r>
  </si>
  <si>
    <r>
      <t xml:space="preserve">11a-7pf12 </t>
    </r>
    <r>
      <rPr>
        <sz val="11"/>
        <color rgb="FF0070C0"/>
        <rFont val="Aptos Narrow"/>
        <family val="2"/>
        <scheme val="minor"/>
      </rPr>
      <t>B@1:15</t>
    </r>
  </si>
  <si>
    <t>8a-4p f8 B@2p</t>
  </si>
  <si>
    <t>8a-11:30a f12 CC</t>
  </si>
  <si>
    <r>
      <t xml:space="preserve">8a-4p CC f12 </t>
    </r>
    <r>
      <rPr>
        <b/>
        <sz val="11"/>
        <color theme="7"/>
        <rFont val="Aptos Narrow"/>
        <family val="2"/>
        <scheme val="minor"/>
      </rPr>
      <t>B@1p</t>
    </r>
  </si>
  <si>
    <t>8a-2 f8</t>
  </si>
  <si>
    <r>
      <t>8a-11a f8/</t>
    </r>
    <r>
      <rPr>
        <b/>
        <sz val="11"/>
        <color theme="7"/>
        <rFont val="Aptos Narrow"/>
        <family val="2"/>
        <scheme val="minor"/>
      </rPr>
      <t>B@11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11:30a-4p f9 </t>
    </r>
  </si>
  <si>
    <r>
      <rPr>
        <sz val="11"/>
        <rFont val="Aptos Narrow"/>
        <family val="2"/>
        <scheme val="minor"/>
      </rPr>
      <t>12p-7p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B@3</t>
    </r>
  </si>
  <si>
    <t>4p-7p CC f12 no brk</t>
  </si>
  <si>
    <r>
      <rPr>
        <sz val="11"/>
        <rFont val="Aptos Narrow"/>
        <family val="2"/>
        <scheme val="minor"/>
      </rPr>
      <t>11:30a-2p</t>
    </r>
    <r>
      <rPr>
        <sz val="11"/>
        <color rgb="FFFF0000"/>
        <rFont val="Aptos Narrow"/>
        <family val="2"/>
        <scheme val="minor"/>
      </rPr>
      <t xml:space="preserve"> f12CC </t>
    </r>
    <r>
      <rPr>
        <b/>
        <sz val="11"/>
        <color rgb="FF0070C0"/>
        <rFont val="Aptos Narrow"/>
        <family val="2"/>
        <scheme val="minor"/>
      </rPr>
      <t xml:space="preserve">B@1:30/ </t>
    </r>
    <r>
      <rPr>
        <sz val="11"/>
        <color theme="1"/>
        <rFont val="Aptos Narrow"/>
        <family val="2"/>
        <scheme val="minor"/>
      </rPr>
      <t>2-7 f8</t>
    </r>
  </si>
  <si>
    <r>
      <rPr>
        <sz val="11"/>
        <rFont val="Aptos Narrow"/>
        <family val="2"/>
        <scheme val="minor"/>
      </rPr>
      <t>11a-7p f8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B@3:30</t>
    </r>
  </si>
  <si>
    <t>2-7p f9 no brk</t>
  </si>
  <si>
    <t>1:30p-7p f9</t>
  </si>
  <si>
    <t>11a-5:30p events/ 5:30-7 close campus</t>
  </si>
  <si>
    <t>11a-7p events + set-up campus</t>
  </si>
  <si>
    <t xml:space="preserve">Marina  </t>
  </si>
  <si>
    <t>8a-2p f9</t>
  </si>
  <si>
    <t>8a-2p f8</t>
  </si>
  <si>
    <t>Jyoti</t>
  </si>
  <si>
    <t>8a-12p w IBU ops</t>
  </si>
  <si>
    <t>8a-1p w IBU ops</t>
  </si>
  <si>
    <t>8:30a-2:30p w ibu ops</t>
  </si>
  <si>
    <t>AYA</t>
  </si>
  <si>
    <t>4-7p w Pablo</t>
  </si>
  <si>
    <t>8a-2:30 IBU Ops</t>
  </si>
  <si>
    <t>8a-2:30p IBU Ops</t>
  </si>
  <si>
    <t>8a-10:30a</t>
  </si>
  <si>
    <t>.</t>
  </si>
  <si>
    <t>1p-6p w Pablo</t>
  </si>
  <si>
    <t>2p-7p event +ibu ops</t>
  </si>
  <si>
    <t>THANKS GIVING STAT</t>
  </si>
  <si>
    <r>
      <rPr>
        <b/>
        <sz val="9"/>
        <color rgb="FF242424"/>
        <rFont val="Aptos Narrow"/>
        <family val="2"/>
      </rPr>
      <t>Time</t>
    </r>
    <r>
      <rPr>
        <sz val="9"/>
        <color rgb="FF242424"/>
        <rFont val="Aptos Narrow"/>
        <family val="2"/>
      </rPr>
      <t xml:space="preserve">: 2:00pm - 5:00 pm  </t>
    </r>
    <r>
      <rPr>
        <b/>
        <sz val="9"/>
        <color rgb="FF242424"/>
        <rFont val="Aptos Narrow"/>
        <family val="2"/>
      </rPr>
      <t>Event</t>
    </r>
    <r>
      <rPr>
        <sz val="9"/>
        <color rgb="FF242424"/>
        <rFont val="Aptos Narrow"/>
        <family val="2"/>
      </rPr>
      <t xml:space="preserve"> :Entrepreneurial Mindset/ Capstone (Asima and Faculty) </t>
    </r>
    <r>
      <rPr>
        <b/>
        <sz val="9"/>
        <color rgb="FF242424"/>
        <rFont val="Aptos Narrow"/>
        <family val="2"/>
      </rPr>
      <t xml:space="preserve">Venue </t>
    </r>
    <r>
      <rPr>
        <sz val="9"/>
        <color rgb="FF242424"/>
        <rFont val="Aptos Narrow"/>
        <family val="2"/>
      </rPr>
      <t xml:space="preserve">:1001 / </t>
    </r>
    <r>
      <rPr>
        <b/>
        <i/>
        <sz val="9"/>
        <color rgb="FF242424"/>
        <rFont val="Aptos Narrow"/>
        <family val="2"/>
      </rPr>
      <t>Tea and talk - 11-11:45pm</t>
    </r>
    <r>
      <rPr>
        <sz val="9"/>
        <color rgb="FF242424"/>
        <rFont val="Aptos Narrow"/>
        <family val="2"/>
      </rPr>
      <t xml:space="preserve"> rm 805</t>
    </r>
  </si>
  <si>
    <r>
      <rPr>
        <b/>
        <sz val="9"/>
        <color rgb="FF242424"/>
        <rFont val="Aptos Narrow"/>
        <family val="2"/>
      </rPr>
      <t>Time</t>
    </r>
    <r>
      <rPr>
        <sz val="9"/>
        <color rgb="FF242424"/>
        <rFont val="Aptos Narrow"/>
        <family val="2"/>
      </rPr>
      <t xml:space="preserve">: 10am onwards </t>
    </r>
    <r>
      <rPr>
        <b/>
        <sz val="9"/>
        <color rgb="FF242424"/>
        <rFont val="Aptos Narrow"/>
        <family val="2"/>
      </rPr>
      <t>Event</t>
    </r>
    <r>
      <rPr>
        <sz val="9"/>
        <color rgb="FF242424"/>
        <rFont val="Aptos Narrow"/>
        <family val="2"/>
      </rPr>
      <t xml:space="preserve"> :Diwali (student Led) </t>
    </r>
    <r>
      <rPr>
        <b/>
        <sz val="9"/>
        <color rgb="FF242424"/>
        <rFont val="Aptos Narrow"/>
        <family val="2"/>
      </rPr>
      <t xml:space="preserve">Venue </t>
    </r>
    <r>
      <rPr>
        <sz val="9"/>
        <color rgb="FF242424"/>
        <rFont val="Aptos Narrow"/>
        <family val="2"/>
      </rPr>
      <t>:1001/</t>
    </r>
    <r>
      <rPr>
        <b/>
        <sz val="9"/>
        <color rgb="FF242424"/>
        <rFont val="Aptos Narrow"/>
        <family val="2"/>
      </rPr>
      <t xml:space="preserve"> </t>
    </r>
    <r>
      <rPr>
        <b/>
        <sz val="9"/>
        <color rgb="FF4EA72E"/>
        <rFont val="Aptos Narrow"/>
        <family val="2"/>
      </rPr>
      <t xml:space="preserve"> 1201 - Guest speaker CS -11-1 PM</t>
    </r>
    <r>
      <rPr>
        <b/>
        <sz val="9"/>
        <color rgb="FF242424"/>
        <rFont val="Aptos Narrow"/>
        <family val="2"/>
      </rPr>
      <t>/</t>
    </r>
    <r>
      <rPr>
        <b/>
        <sz val="9"/>
        <color rgb="FF0F9ED5"/>
        <rFont val="Aptos Narrow"/>
        <family val="2"/>
      </rPr>
      <t>Career Cafe : 12:00 - 1:30 -rm807</t>
    </r>
    <r>
      <rPr>
        <b/>
        <sz val="9"/>
        <color rgb="FF242424"/>
        <rFont val="Aptos Narrow"/>
        <family val="2"/>
      </rPr>
      <t xml:space="preserve">/ </t>
    </r>
    <r>
      <rPr>
        <sz val="9"/>
        <color rgb="FFFF0000"/>
        <rFont val="Aptos Narrow"/>
        <family val="2"/>
      </rPr>
      <t>Setup for next day Asiye / winnie exam - 1002+1003</t>
    </r>
  </si>
  <si>
    <r>
      <rPr>
        <b/>
        <sz val="9"/>
        <color rgb="FF242424"/>
        <rFont val="Aptos Narrow"/>
        <family val="2"/>
      </rPr>
      <t>Setup</t>
    </r>
    <r>
      <rPr>
        <sz val="9"/>
        <color rgb="FF242424"/>
        <rFont val="Aptos Narrow"/>
        <family val="2"/>
      </rPr>
      <t xml:space="preserve"> - 8:30- 3pm  Asiye - 1002 (classroom setup 40 chairs+ 40 table) /Winnie -1003 - 8:30 -12:30pm (40chairs+20tables)</t>
    </r>
  </si>
  <si>
    <r>
      <rPr>
        <b/>
        <sz val="9"/>
        <color rgb="FF242424"/>
        <rFont val="Aptos Narrow"/>
        <family val="2"/>
      </rPr>
      <t>Time</t>
    </r>
    <r>
      <rPr>
        <sz val="9"/>
        <color rgb="FF242424"/>
        <rFont val="Aptos Narrow"/>
        <family val="2"/>
      </rPr>
      <t xml:space="preserve">: 3-7:30P </t>
    </r>
    <r>
      <rPr>
        <b/>
        <sz val="9"/>
        <color rgb="FF242424"/>
        <rFont val="Aptos Narrow"/>
        <family val="2"/>
      </rPr>
      <t>Event</t>
    </r>
    <r>
      <rPr>
        <sz val="9"/>
        <color rgb="FF242424"/>
        <rFont val="Aptos Narrow"/>
        <family val="2"/>
      </rPr>
      <t xml:space="preserve"> :Julien's class+ networking event  </t>
    </r>
    <r>
      <rPr>
        <b/>
        <sz val="9"/>
        <color rgb="FF242424"/>
        <rFont val="Aptos Narrow"/>
        <family val="2"/>
      </rPr>
      <t xml:space="preserve">Venue </t>
    </r>
    <r>
      <rPr>
        <sz val="9"/>
        <color rgb="FF242424"/>
        <rFont val="Aptos Narrow"/>
        <family val="2"/>
      </rPr>
      <t>:1001</t>
    </r>
  </si>
  <si>
    <t>EXAMS</t>
  </si>
  <si>
    <t xml:space="preserve">11:30a-7:30p </t>
  </si>
  <si>
    <t>8a-12p f10 no brk</t>
  </si>
  <si>
    <t>8a-12p f8 meeting rm</t>
  </si>
  <si>
    <t>8a-3p f9 B@11:30am</t>
  </si>
  <si>
    <t>8a-4p inventories/ give brks/ help all</t>
  </si>
  <si>
    <r>
      <rPr>
        <b/>
        <sz val="11"/>
        <rFont val="Aptos Narrow"/>
        <family val="2"/>
        <scheme val="minor"/>
      </rPr>
      <t>12p-12:30p f8/</t>
    </r>
    <r>
      <rPr>
        <b/>
        <sz val="11"/>
        <color theme="9"/>
        <rFont val="Aptos Narrow"/>
        <family val="2"/>
        <scheme val="minor"/>
      </rPr>
      <t>1p-2:30p f12CC/</t>
    </r>
    <r>
      <rPr>
        <sz val="11"/>
        <color rgb="FFC0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 xml:space="preserve">2:30p-7p f9 </t>
    </r>
  </si>
  <si>
    <t>2p-8:30p EVENT</t>
  </si>
  <si>
    <r>
      <rPr>
        <b/>
        <sz val="11"/>
        <rFont val="Aptos Narrow"/>
        <family val="2"/>
        <scheme val="minor"/>
      </rPr>
      <t xml:space="preserve">11:30a-7f8 </t>
    </r>
    <r>
      <rPr>
        <b/>
        <sz val="11"/>
        <color rgb="FF0070C0"/>
        <rFont val="Aptos Narrow"/>
        <family val="2"/>
        <scheme val="minor"/>
      </rPr>
      <t>B@3:30</t>
    </r>
  </si>
  <si>
    <r>
      <rPr>
        <b/>
        <sz val="11"/>
        <color theme="9"/>
        <rFont val="Aptos Narrow"/>
        <family val="2"/>
        <scheme val="minor"/>
      </rPr>
      <t>12:30p-7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70C0"/>
        <rFont val="Aptos Narrow"/>
        <family val="2"/>
        <scheme val="minor"/>
      </rPr>
      <t>B@3:30</t>
    </r>
  </si>
  <si>
    <r>
      <rPr>
        <sz val="11"/>
        <rFont val="Aptos Narrow"/>
        <family val="2"/>
        <scheme val="minor"/>
      </rPr>
      <t>8a-12:30p f9 desk/</t>
    </r>
    <r>
      <rPr>
        <b/>
        <sz val="11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B@12:30/</t>
    </r>
    <r>
      <rPr>
        <b/>
        <sz val="11"/>
        <color theme="9"/>
        <rFont val="Aptos Narrow"/>
        <family val="2"/>
        <scheme val="minor"/>
      </rPr>
      <t xml:space="preserve"> 1-1:30p f12 CC</t>
    </r>
    <r>
      <rPr>
        <sz val="11"/>
        <color rgb="FFFF0000"/>
        <rFont val="Aptos Narrow"/>
        <family val="2"/>
        <scheme val="minor"/>
      </rPr>
      <t xml:space="preserve"> </t>
    </r>
  </si>
  <si>
    <t xml:space="preserve">8a-12p help w events/ exams </t>
  </si>
  <si>
    <r>
      <t xml:space="preserve">8:30a-6p- f8 </t>
    </r>
    <r>
      <rPr>
        <b/>
        <sz val="11"/>
        <color theme="9"/>
        <rFont val="Aptos Narrow"/>
        <family val="2"/>
        <scheme val="minor"/>
      </rPr>
      <t xml:space="preserve"> (Cover CC at 3:30pm)</t>
    </r>
  </si>
  <si>
    <t>8a-12p f8 no brk</t>
  </si>
  <si>
    <t>3:30p-4 f8/ 4p-7p f9</t>
  </si>
  <si>
    <r>
      <t xml:space="preserve">8a-11:30a f8 &amp;CC/ </t>
    </r>
    <r>
      <rPr>
        <b/>
        <sz val="11"/>
        <color theme="7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B@11:30a/ 12p-5:30p f12 (Cover Daria on f8 at 3:30 &amp;CC)</t>
    </r>
  </si>
  <si>
    <r>
      <t>8a-11:30a f12 /</t>
    </r>
    <r>
      <rPr>
        <b/>
        <sz val="11"/>
        <rFont val="Aptos Narrow"/>
        <family val="2"/>
        <scheme val="minor"/>
      </rPr>
      <t xml:space="preserve"> 11:30a-12:30p f8 no brk</t>
    </r>
  </si>
  <si>
    <r>
      <t>8a-11a f12/</t>
    </r>
    <r>
      <rPr>
        <b/>
        <sz val="11"/>
        <color theme="7"/>
        <rFont val="Aptos Narrow"/>
        <family val="2"/>
        <scheme val="minor"/>
      </rPr>
      <t>B@11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11:30a-4p f9 </t>
    </r>
  </si>
  <si>
    <r>
      <rPr>
        <sz val="11"/>
        <rFont val="Aptos Narrow"/>
        <family val="2"/>
        <scheme val="minor"/>
      </rPr>
      <t>11:30a-7p</t>
    </r>
    <r>
      <rPr>
        <sz val="11"/>
        <color rgb="FFFF0000"/>
        <rFont val="Aptos Narrow"/>
        <family val="2"/>
        <scheme val="minor"/>
      </rPr>
      <t xml:space="preserve"> f12 CC </t>
    </r>
    <r>
      <rPr>
        <b/>
        <sz val="11"/>
        <color rgb="FF0070C0"/>
        <rFont val="Aptos Narrow"/>
        <family val="2"/>
        <scheme val="minor"/>
      </rPr>
      <t>B@1:45p</t>
    </r>
  </si>
  <si>
    <r>
      <rPr>
        <sz val="11"/>
        <rFont val="Aptos Narrow"/>
        <family val="2"/>
        <scheme val="minor"/>
      </rPr>
      <t>11a-7p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B@3:30</t>
    </r>
  </si>
  <si>
    <t>12:30p-7p  f9</t>
  </si>
  <si>
    <t>12:30p-6p f8</t>
  </si>
  <si>
    <t>10a-6p EVENTS</t>
  </si>
  <si>
    <t>3p-7p f9 no brk solo</t>
  </si>
  <si>
    <t>9a-2p EVENTS</t>
  </si>
  <si>
    <r>
      <rPr>
        <sz val="11"/>
        <rFont val="Aptos Narrow"/>
        <family val="2"/>
        <scheme val="minor"/>
      </rPr>
      <t>8a-4p f9</t>
    </r>
    <r>
      <rPr>
        <b/>
        <sz val="11"/>
        <color theme="4" tint="0.39997558519241921"/>
        <rFont val="Aptos Narrow"/>
        <family val="2"/>
        <scheme val="minor"/>
      </rPr>
      <t xml:space="preserve"> B@1</t>
    </r>
    <r>
      <rPr>
        <sz val="11"/>
        <color theme="8" tint="0.3999755851924192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solo</t>
    </r>
  </si>
  <si>
    <t>3-6p w ibu ops/ set-up</t>
  </si>
  <si>
    <t>3p-7p w IBU ops/set up</t>
  </si>
  <si>
    <t>8:15a-11:45a w IBU ops</t>
  </si>
  <si>
    <t>Prabesh</t>
  </si>
  <si>
    <t>Aya</t>
  </si>
  <si>
    <t>8a-2p w IBU OPS (1st day)</t>
  </si>
  <si>
    <t>8a-11a w IBU ops</t>
  </si>
  <si>
    <t>IBU OPS</t>
  </si>
  <si>
    <t>Shifts in a Perfect world: Will Vary based on class schedule, Availability &amp; RO's</t>
  </si>
  <si>
    <t>12-2pm - cleaning apt. by ops team</t>
  </si>
  <si>
    <t>Career Services - Network with the Best! 12- 1p (1001)</t>
  </si>
  <si>
    <t>Fireside chat VIP visit 1001-2 (12-4p)                                                                              Enactus Meet and Greet 1003</t>
  </si>
  <si>
    <r>
      <rPr>
        <b/>
        <sz val="8"/>
        <color rgb="FF000000"/>
        <rFont val="Aptos Narrow"/>
        <family val="2"/>
        <scheme val="minor"/>
      </rPr>
      <t>Mental Health Day - 1001-2</t>
    </r>
    <r>
      <rPr>
        <b/>
        <sz val="8"/>
        <color rgb="FFFF0000"/>
        <rFont val="Aptos Narrow"/>
        <family val="2"/>
        <scheme val="minor"/>
      </rPr>
      <t>/Setup for joined lecture on Staurday - 40 tables/ 80 chairs</t>
    </r>
  </si>
  <si>
    <t>1001 + 1002 Brenda+ Ho Hon - Joined Lecture 10:30am and 2pm</t>
  </si>
  <si>
    <t>9:30a-5p</t>
  </si>
  <si>
    <t>10a-12:30p SET-up/ + Lieu time owed</t>
  </si>
  <si>
    <t>8a-11a</t>
  </si>
  <si>
    <r>
      <rPr>
        <sz val="11"/>
        <color theme="8" tint="0.39997558519241921"/>
        <rFont val="Aptos Narrow"/>
        <family val="2"/>
        <scheme val="minor"/>
      </rPr>
      <t>8a-2:30p f9</t>
    </r>
    <r>
      <rPr>
        <sz val="11"/>
        <rFont val="Aptos Narrow"/>
        <family val="2"/>
        <scheme val="minor"/>
      </rPr>
      <t xml:space="preserve"> B@11:30am</t>
    </r>
  </si>
  <si>
    <t>9-1p Inv - 1-1:30 f9/ B@1:30/ 2-4 inv/ 4-7 f9</t>
  </si>
  <si>
    <r>
      <rPr>
        <b/>
        <sz val="11"/>
        <color theme="9"/>
        <rFont val="Aptos Narrow"/>
        <family val="2"/>
        <scheme val="minor"/>
      </rPr>
      <t>1p-2:30p f12CC/</t>
    </r>
    <r>
      <rPr>
        <sz val="11"/>
        <color rgb="FFC00000"/>
        <rFont val="Aptos Narrow"/>
        <family val="2"/>
        <scheme val="minor"/>
      </rPr>
      <t xml:space="preserve"> 2:30p-7p f9 no brk</t>
    </r>
  </si>
  <si>
    <r>
      <rPr>
        <sz val="11"/>
        <color theme="8" tint="0.39997558519241921"/>
        <rFont val="Aptos Narrow"/>
        <family val="2"/>
        <scheme val="minor"/>
      </rPr>
      <t>8a-12:30p f9 desk</t>
    </r>
    <r>
      <rPr>
        <sz val="11"/>
        <rFont val="Aptos Narrow"/>
        <family val="2"/>
        <scheme val="minor"/>
      </rPr>
      <t>/</t>
    </r>
    <r>
      <rPr>
        <b/>
        <sz val="11"/>
        <color theme="9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B@12:30/</t>
    </r>
    <r>
      <rPr>
        <b/>
        <sz val="11"/>
        <color theme="9"/>
        <rFont val="Aptos Narrow"/>
        <family val="2"/>
        <scheme val="minor"/>
      </rPr>
      <t xml:space="preserve"> 1-1:30p f12 CC</t>
    </r>
    <r>
      <rPr>
        <sz val="11"/>
        <color rgb="FFFF0000"/>
        <rFont val="Aptos Narrow"/>
        <family val="2"/>
        <scheme val="minor"/>
      </rPr>
      <t xml:space="preserve"> </t>
    </r>
  </si>
  <si>
    <r>
      <t xml:space="preserve">8:30a-3:30p- f8 </t>
    </r>
    <r>
      <rPr>
        <b/>
        <sz val="11"/>
        <color theme="9"/>
        <rFont val="Aptos Narrow"/>
        <family val="2"/>
        <scheme val="minor"/>
      </rPr>
      <t xml:space="preserve"> (Cover CC at 3pm) </t>
    </r>
    <r>
      <rPr>
        <b/>
        <sz val="11"/>
        <rFont val="Aptos Narrow"/>
        <family val="2"/>
        <scheme val="minor"/>
      </rPr>
      <t xml:space="preserve"> 4p-7p f9</t>
    </r>
  </si>
  <si>
    <r>
      <rPr>
        <sz val="11"/>
        <color rgb="FFC00000"/>
        <rFont val="Aptos Narrow"/>
        <family val="2"/>
        <scheme val="minor"/>
      </rPr>
      <t>8a-11a f9</t>
    </r>
    <r>
      <rPr>
        <sz val="11"/>
        <rFont val="Aptos Narrow"/>
        <family val="2"/>
        <scheme val="minor"/>
      </rPr>
      <t>/  no brk</t>
    </r>
  </si>
  <si>
    <r>
      <t xml:space="preserve">8a-11a f12/ </t>
    </r>
    <r>
      <rPr>
        <b/>
        <sz val="11"/>
        <rFont val="Aptos Narrow"/>
        <family val="2"/>
        <scheme val="minor"/>
      </rPr>
      <t>11a-12:30pf9 no brk</t>
    </r>
  </si>
  <si>
    <r>
      <rPr>
        <sz val="11"/>
        <rFont val="Aptos Narrow"/>
        <family val="2"/>
        <scheme val="minor"/>
      </rPr>
      <t>12p-7</t>
    </r>
    <r>
      <rPr>
        <sz val="11"/>
        <color rgb="FFFF0000"/>
        <rFont val="Aptos Narrow"/>
        <family val="2"/>
        <scheme val="minor"/>
      </rPr>
      <t xml:space="preserve"> f12 </t>
    </r>
    <r>
      <rPr>
        <sz val="11"/>
        <color rgb="FF0070C0"/>
        <rFont val="Aptos Narrow"/>
        <family val="2"/>
        <scheme val="minor"/>
      </rPr>
      <t>B@3:30</t>
    </r>
  </si>
  <si>
    <r>
      <rPr>
        <sz val="11"/>
        <rFont val="Aptos Narrow"/>
        <family val="2"/>
        <scheme val="minor"/>
      </rPr>
      <t>11a-3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 xml:space="preserve">B@3 / </t>
    </r>
    <r>
      <rPr>
        <b/>
        <sz val="11"/>
        <color theme="9"/>
        <rFont val="Aptos Narrow"/>
        <family val="2"/>
        <scheme val="minor"/>
      </rPr>
      <t>3:30-7 f8 CC</t>
    </r>
  </si>
  <si>
    <r>
      <t>1p-</t>
    </r>
    <r>
      <rPr>
        <sz val="11"/>
        <rFont val="Aptos Narrow"/>
        <family val="2"/>
        <scheme val="minor"/>
      </rPr>
      <t>7p f9</t>
    </r>
  </si>
  <si>
    <r>
      <rPr>
        <sz val="11"/>
        <color theme="8" tint="0.39997558519241921"/>
        <rFont val="Aptos Narrow"/>
        <family val="2"/>
        <scheme val="minor"/>
      </rPr>
      <t>12:30p</t>
    </r>
    <r>
      <rPr>
        <sz val="11"/>
        <rFont val="Aptos Narrow"/>
        <family val="2"/>
        <scheme val="minor"/>
      </rPr>
      <t>-</t>
    </r>
    <r>
      <rPr>
        <sz val="11"/>
        <color rgb="FFC00000"/>
        <rFont val="Aptos Narrow"/>
        <family val="2"/>
        <scheme val="minor"/>
      </rPr>
      <t>7p  f9</t>
    </r>
  </si>
  <si>
    <t>12:30-2:30p EVENTS + RESET</t>
  </si>
  <si>
    <t>Leonardo TRAINING</t>
  </si>
  <si>
    <t>8a-4p TR Desk f9</t>
  </si>
  <si>
    <t>2p-7p TR f9</t>
  </si>
  <si>
    <r>
      <t xml:space="preserve">4p-7p </t>
    </r>
    <r>
      <rPr>
        <sz val="11"/>
        <color rgb="FFC00000"/>
        <rFont val="Aptos Narrow"/>
        <family val="2"/>
        <scheme val="minor"/>
      </rPr>
      <t>f9</t>
    </r>
    <r>
      <rPr>
        <sz val="11"/>
        <rFont val="Aptos Narrow"/>
        <family val="2"/>
        <scheme val="minor"/>
      </rPr>
      <t xml:space="preserve"> no brk </t>
    </r>
    <r>
      <rPr>
        <sz val="11"/>
        <color rgb="FFC00000"/>
        <rFont val="Aptos Narrow"/>
        <family val="2"/>
        <scheme val="minor"/>
      </rPr>
      <t>TR</t>
    </r>
  </si>
  <si>
    <r>
      <t xml:space="preserve">8a-11a Tr f9/ </t>
    </r>
    <r>
      <rPr>
        <sz val="11"/>
        <color theme="7"/>
        <rFont val="Aptos Narrow"/>
        <family val="2"/>
        <scheme val="minor"/>
      </rPr>
      <t>B@11a/</t>
    </r>
    <r>
      <rPr>
        <sz val="11"/>
        <color rgb="FFC00000"/>
        <rFont val="Aptos Narrow"/>
        <family val="2"/>
        <scheme val="minor"/>
      </rPr>
      <t xml:space="preserve"> 11:30a-4pm solo f9</t>
    </r>
  </si>
  <si>
    <t>Marina  TRAINING</t>
  </si>
  <si>
    <t>8a-2pf9 + event set-up</t>
  </si>
  <si>
    <r>
      <rPr>
        <b/>
        <sz val="11"/>
        <rFont val="Aptos Narrow"/>
        <family val="2"/>
        <scheme val="minor"/>
      </rPr>
      <t xml:space="preserve">8a-2p </t>
    </r>
    <r>
      <rPr>
        <b/>
        <sz val="11"/>
        <color theme="8" tint="0.39997558519241921"/>
        <rFont val="Aptos Narrow"/>
        <family val="2"/>
        <scheme val="minor"/>
      </rPr>
      <t>f9 TR +EVENT</t>
    </r>
  </si>
  <si>
    <r>
      <t xml:space="preserve">8a-12p </t>
    </r>
    <r>
      <rPr>
        <b/>
        <sz val="11"/>
        <color theme="8" tint="0.39997558519241921"/>
        <rFont val="Aptos Narrow"/>
        <family val="2"/>
        <scheme val="minor"/>
      </rPr>
      <t>f9 TR</t>
    </r>
    <r>
      <rPr>
        <b/>
        <sz val="11"/>
        <rFont val="Aptos Narrow"/>
        <family val="2"/>
        <scheme val="minor"/>
      </rPr>
      <t xml:space="preserve"> no brk +EVENT</t>
    </r>
  </si>
  <si>
    <r>
      <t xml:space="preserve">8a-11a TR/ </t>
    </r>
    <r>
      <rPr>
        <sz val="11"/>
        <rFont val="Aptos Narrow"/>
        <family val="2"/>
        <scheme val="minor"/>
      </rPr>
      <t>12-4p solo f9</t>
    </r>
    <r>
      <rPr>
        <b/>
        <sz val="11"/>
        <color theme="4" tint="0.39997558519241921"/>
        <rFont val="Aptos Narrow"/>
        <family val="2"/>
        <scheme val="minor"/>
      </rPr>
      <t xml:space="preserve"> B@1</t>
    </r>
  </si>
  <si>
    <r>
      <t>8a-4p IBU support + help w event</t>
    </r>
    <r>
      <rPr>
        <b/>
        <sz val="11"/>
        <color theme="8"/>
        <rFont val="Aptos Narrow"/>
        <family val="2"/>
        <scheme val="minor"/>
      </rPr>
      <t xml:space="preserve"> </t>
    </r>
  </si>
  <si>
    <t>12:00- 3:00pm - ops team help</t>
  </si>
  <si>
    <t>8a-4p ibu support help w Event</t>
  </si>
  <si>
    <t>11a-7p f12 TR CC w Kavya &amp; Chinesha</t>
  </si>
  <si>
    <r>
      <t xml:space="preserve">11a-3p f12 TR C/ </t>
    </r>
    <r>
      <rPr>
        <b/>
        <sz val="11"/>
        <color theme="7"/>
        <rFont val="Aptos Narrow"/>
        <family val="2"/>
        <scheme val="minor"/>
      </rPr>
      <t>B@3/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3:30-7p w Pablo f9+ events</t>
    </r>
  </si>
  <si>
    <t>Interns</t>
  </si>
  <si>
    <t>let</t>
  </si>
  <si>
    <t>Career Services - MOU signing IBU AND FREE FUSE 12 :00 - 2:00 pm</t>
  </si>
  <si>
    <t>Career Services - MOU 1:00 -2:30 pm (1001-2) + Orange shirt day - 807 + 1003 (10:30 to 2:00)</t>
  </si>
  <si>
    <t xml:space="preserve">Executive meet - 1001(9:30 - 3:30) </t>
  </si>
  <si>
    <t>Recruitment meet - 9th floor meeting room  10:30- 12:30</t>
  </si>
  <si>
    <t>9a-5 in meetings all day</t>
  </si>
  <si>
    <t>9a-11:30 set-up events/ 11:30a-6p f8</t>
  </si>
  <si>
    <t>8:30a-2:30 inventories</t>
  </si>
  <si>
    <r>
      <rPr>
        <sz val="11"/>
        <color rgb="FFD86DCD"/>
        <rFont val="Aptos Narrow"/>
        <family val="2"/>
      </rPr>
      <t xml:space="preserve">8a-11 f9 </t>
    </r>
    <r>
      <rPr>
        <b/>
        <sz val="11"/>
        <color rgb="FF44B3E1"/>
        <rFont val="Aptos Narrow"/>
        <family val="2"/>
      </rPr>
      <t xml:space="preserve">B@11, </t>
    </r>
    <r>
      <rPr>
        <sz val="11"/>
        <color rgb="FF000000"/>
        <rFont val="Aptos Narrow"/>
        <family val="2"/>
      </rPr>
      <t>11:30-3 inventory</t>
    </r>
  </si>
  <si>
    <t>8a-1p f9/ B@1/ 1:30-3p event</t>
  </si>
  <si>
    <r>
      <rPr>
        <b/>
        <sz val="11"/>
        <color theme="9"/>
        <rFont val="Aptos Narrow"/>
        <family val="2"/>
        <scheme val="minor"/>
      </rPr>
      <t>1:30p-7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70C0"/>
        <rFont val="Aptos Narrow"/>
        <family val="2"/>
        <scheme val="minor"/>
      </rPr>
      <t>B@3:30</t>
    </r>
  </si>
  <si>
    <r>
      <t>8:30a-6p- f8</t>
    </r>
    <r>
      <rPr>
        <sz val="11"/>
        <color theme="9"/>
        <rFont val="Aptos Narrow"/>
        <family val="2"/>
        <scheme val="minor"/>
      </rPr>
      <t xml:space="preserve"> (</t>
    </r>
    <r>
      <rPr>
        <b/>
        <sz val="11"/>
        <color theme="9"/>
        <rFont val="Aptos Narrow"/>
        <family val="2"/>
        <scheme val="minor"/>
      </rPr>
      <t>Cover CC at 3:30-4p)</t>
    </r>
  </si>
  <si>
    <r>
      <rPr>
        <sz val="11"/>
        <color rgb="FFC00000"/>
        <rFont val="Aptos Narrow"/>
        <family val="2"/>
        <scheme val="minor"/>
      </rPr>
      <t>8a-11a f9</t>
    </r>
    <r>
      <rPr>
        <sz val="11"/>
        <rFont val="Aptos Narrow"/>
        <family val="2"/>
        <scheme val="minor"/>
      </rPr>
      <t>/ 3:30p-4 f8/ 4p-7p f9 no brk</t>
    </r>
  </si>
  <si>
    <t>8a-4p CC f12 B@1p</t>
  </si>
  <si>
    <r>
      <rPr>
        <sz val="11"/>
        <rFont val="Aptos Narrow"/>
        <family val="2"/>
        <scheme val="minor"/>
      </rPr>
      <t>11:30a-7p</t>
    </r>
    <r>
      <rPr>
        <sz val="11"/>
        <color rgb="FFFF0000"/>
        <rFont val="Aptos Narrow"/>
        <family val="2"/>
        <scheme val="minor"/>
      </rPr>
      <t xml:space="preserve"> f12 CC </t>
    </r>
    <r>
      <rPr>
        <b/>
        <sz val="11"/>
        <color rgb="FF0070C0"/>
        <rFont val="Aptos Narrow"/>
        <family val="2"/>
        <scheme val="minor"/>
      </rPr>
      <t>B@2pm</t>
    </r>
  </si>
  <si>
    <r>
      <rPr>
        <sz val="11"/>
        <rFont val="Aptos Narrow"/>
        <family val="2"/>
        <scheme val="minor"/>
      </rPr>
      <t>11a-7p f12 CC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B@3:30p</t>
    </r>
  </si>
  <si>
    <t>12:30-2:30p f9</t>
  </si>
  <si>
    <t>3p-7p f9 no brk</t>
  </si>
  <si>
    <t>8a-4p TR Desk f9 + EVENT</t>
  </si>
  <si>
    <t>8a-4p F9 TR</t>
  </si>
  <si>
    <t>8a-12pf9 + event set-up</t>
  </si>
  <si>
    <r>
      <t xml:space="preserve">8a-2p </t>
    </r>
    <r>
      <rPr>
        <b/>
        <sz val="11"/>
        <color theme="8" tint="0.39997558519241921"/>
        <rFont val="Aptos Narrow"/>
        <family val="2"/>
        <scheme val="minor"/>
      </rPr>
      <t>f9 TR  + EVENT</t>
    </r>
  </si>
  <si>
    <r>
      <t xml:space="preserve">8a-12p </t>
    </r>
    <r>
      <rPr>
        <sz val="11"/>
        <color theme="8" tint="0.39997558519241921"/>
        <rFont val="Aptos Narrow"/>
        <family val="2"/>
        <scheme val="minor"/>
      </rPr>
      <t>f9 TR</t>
    </r>
    <r>
      <rPr>
        <sz val="11"/>
        <rFont val="Aptos Narrow"/>
        <family val="2"/>
        <scheme val="minor"/>
      </rPr>
      <t xml:space="preserve"> no brk</t>
    </r>
  </si>
  <si>
    <r>
      <t xml:space="preserve">8a-4p </t>
    </r>
    <r>
      <rPr>
        <sz val="11"/>
        <rFont val="Aptos Narrow"/>
        <family val="2"/>
        <scheme val="minor"/>
      </rPr>
      <t>TR</t>
    </r>
    <r>
      <rPr>
        <b/>
        <sz val="11"/>
        <color theme="4" tint="0.39997558519241921"/>
        <rFont val="Aptos Narrow"/>
        <family val="2"/>
        <scheme val="minor"/>
      </rPr>
      <t xml:space="preserve"> B@1</t>
    </r>
  </si>
  <si>
    <r>
      <rPr>
        <b/>
        <sz val="11"/>
        <rFont val="Aptos Narrow"/>
        <family val="2"/>
        <scheme val="minor"/>
      </rPr>
      <t>9a-11a help w event</t>
    </r>
    <r>
      <rPr>
        <b/>
        <sz val="11"/>
        <color theme="9"/>
        <rFont val="Aptos Narrow"/>
        <family val="2"/>
        <scheme val="minor"/>
      </rPr>
      <t>/ 11a-5p f12 TR CC w Pablo</t>
    </r>
  </si>
  <si>
    <t>12a-7p f12 TR CC w Kavya &amp; Chinesha</t>
  </si>
  <si>
    <t>VIP Visitor " Robin Clarke - CPA" Meeting w Dorothy @11 am inCS. Bag, Muffins, coffee etc</t>
  </si>
  <si>
    <t>1001-1002 SS event 2-4pm  8X8 w water bottles on table, pens and A4 sheets 3-4 each desk + Mic and speaker AV</t>
  </si>
  <si>
    <t xml:space="preserve">CS event f10 12-2p </t>
  </si>
  <si>
    <t>Lieu used from Sept 19</t>
  </si>
  <si>
    <t>9a-5 Tentatively Offsite Tour</t>
  </si>
  <si>
    <t>8a-9 f8/ 9-4p projs</t>
  </si>
  <si>
    <t>9a-5 (Cover CC 1-1:45)</t>
  </si>
  <si>
    <t>9:15a-12p f10 L</t>
  </si>
  <si>
    <t>CO  (4 hrs)</t>
  </si>
  <si>
    <t>8a-12p f10</t>
  </si>
  <si>
    <t>11a-12 w fran / 1-6p f8</t>
  </si>
  <si>
    <t>8a-9a f9/ 9a-10a w fran/ 10a-11a proj/ 11a-12p w fran/ 12-1 give ppl breaks</t>
  </si>
  <si>
    <t>8a-3p f9 B@11</t>
  </si>
  <si>
    <t>9a-7p f9</t>
  </si>
  <si>
    <r>
      <rPr>
        <b/>
        <sz val="11"/>
        <rFont val="Aptos Narrow"/>
        <family val="2"/>
        <scheme val="minor"/>
      </rPr>
      <t xml:space="preserve">12p-7f8 </t>
    </r>
    <r>
      <rPr>
        <b/>
        <sz val="11"/>
        <color rgb="FF0070C0"/>
        <rFont val="Aptos Narrow"/>
        <family val="2"/>
        <scheme val="minor"/>
      </rPr>
      <t>B@3:30</t>
    </r>
  </si>
  <si>
    <t>9a-12pf8 desk/ B@12/ 12:30-7 f12 CC B@3:30</t>
  </si>
  <si>
    <r>
      <rPr>
        <sz val="11"/>
        <color theme="8" tint="0.39997558519241921"/>
        <rFont val="Aptos Narrow"/>
        <family val="2"/>
        <scheme val="minor"/>
      </rPr>
      <t>8a-12:30p f9 desk</t>
    </r>
    <r>
      <rPr>
        <sz val="11"/>
        <rFont val="Aptos Narrow"/>
        <family val="2"/>
        <scheme val="minor"/>
      </rPr>
      <t>/</t>
    </r>
    <r>
      <rPr>
        <b/>
        <sz val="11"/>
        <color theme="9"/>
        <rFont val="Aptos Narrow"/>
        <family val="2"/>
        <scheme val="minor"/>
      </rPr>
      <t xml:space="preserve"> </t>
    </r>
    <r>
      <rPr>
        <sz val="11"/>
        <color theme="7"/>
        <rFont val="Aptos Narrow"/>
        <family val="2"/>
        <scheme val="minor"/>
      </rPr>
      <t>B@12:30/</t>
    </r>
    <r>
      <rPr>
        <b/>
        <sz val="11"/>
        <color theme="9"/>
        <rFont val="Aptos Narrow"/>
        <family val="2"/>
        <scheme val="minor"/>
      </rPr>
      <t xml:space="preserve"> 1-2p f12 CC</t>
    </r>
    <r>
      <rPr>
        <sz val="11"/>
        <color rgb="FFFF0000"/>
        <rFont val="Aptos Narrow"/>
        <family val="2"/>
        <scheme val="minor"/>
      </rPr>
      <t xml:space="preserve"> </t>
    </r>
  </si>
  <si>
    <t>8a-4pm f9</t>
  </si>
  <si>
    <t>11a-11:30f9/ 11:30-2:30 clean &amp; reset campus/ order list B@2:30/ 3-7p f9</t>
  </si>
  <si>
    <t>8:30a-11a f8/ 4p-7p f9</t>
  </si>
  <si>
    <t xml:space="preserve">8a-4p f12 B@1:15 (2:15p-3:15p elev f12) </t>
  </si>
  <si>
    <r>
      <t xml:space="preserve">8a-12p f8 &amp;CC/ </t>
    </r>
    <r>
      <rPr>
        <b/>
        <sz val="11"/>
        <color theme="7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B@12p/ 12:30p-5:30p f12 (Cover Daria on f8 at 3:30 &amp;CC)</t>
    </r>
  </si>
  <si>
    <t>8:30a-11a TR Opening f8</t>
  </si>
  <si>
    <t xml:space="preserve">8a-4p f12 B@1:15  </t>
  </si>
  <si>
    <t xml:space="preserve">10a-4p f12 B@1:15  </t>
  </si>
  <si>
    <r>
      <t xml:space="preserve">11a-1p f8/ B@1p </t>
    </r>
    <r>
      <rPr>
        <b/>
        <sz val="11"/>
        <rFont val="Aptos Narrow"/>
        <family val="2"/>
        <scheme val="minor"/>
      </rPr>
      <t>/</t>
    </r>
    <r>
      <rPr>
        <b/>
        <sz val="11"/>
        <color theme="9"/>
        <rFont val="Aptos Narrow"/>
        <family val="2"/>
        <scheme val="minor"/>
      </rPr>
      <t xml:space="preserve"> CC 1:30p-4p f12/</t>
    </r>
    <r>
      <rPr>
        <b/>
        <sz val="11"/>
        <rFont val="Aptos Narrow"/>
        <family val="2"/>
        <scheme val="minor"/>
      </rPr>
      <t xml:space="preserve"> 4p-7p CLOSING</t>
    </r>
    <r>
      <rPr>
        <sz val="11"/>
        <rFont val="Aptos Narrow"/>
        <family val="2"/>
        <scheme val="minor"/>
      </rPr>
      <t xml:space="preserve"> w Taran</t>
    </r>
  </si>
  <si>
    <t>11:30a-12:30 ele F12 / 12:30-7 f12 B@3:30</t>
  </si>
  <si>
    <t>4p-7p CC f12</t>
  </si>
  <si>
    <t>11:30a-12:30 ele F12 / 12:30-7 f12 B@3</t>
  </si>
  <si>
    <t>11:30a-7p f12 CC B@3</t>
  </si>
  <si>
    <t>1p-7p f9+set-up</t>
  </si>
  <si>
    <t>12:30p-7p  f9 + reset</t>
  </si>
  <si>
    <t>12:30p-6p- f8</t>
  </si>
  <si>
    <t>8a-3p TR Desk f8</t>
  </si>
  <si>
    <t>8a-10a w IBU OPS/ 10a-11:30a f10 w Aashima</t>
  </si>
  <si>
    <t>8a-12p F9 TR</t>
  </si>
  <si>
    <t>8a-11f9/ B@11/ 11:30-2:30 w Pablo</t>
  </si>
  <si>
    <r>
      <t xml:space="preserve">8a-2p f9 TR </t>
    </r>
    <r>
      <rPr>
        <b/>
        <sz val="11"/>
        <color theme="7"/>
        <rFont val="Aptos Narrow"/>
        <family val="2"/>
        <scheme val="minor"/>
      </rPr>
      <t>B@11:30a</t>
    </r>
  </si>
  <si>
    <t>8a-10a f9 TR opening Pablo/ 10a-1p f10 w Aashima</t>
  </si>
  <si>
    <t>8a-12p f9 TR</t>
  </si>
  <si>
    <t>12p-7pm TRAIN f9</t>
  </si>
  <si>
    <r>
      <t>8a-4p IBU support + help w event</t>
    </r>
    <r>
      <rPr>
        <b/>
        <sz val="11"/>
        <color theme="8"/>
        <rFont val="Aptos Narrow"/>
        <family val="2"/>
        <scheme val="minor"/>
      </rPr>
      <t xml:space="preserve"> (11:30a-12:30 &amp; 2:30-3p f9 elev)</t>
    </r>
  </si>
  <si>
    <r>
      <t xml:space="preserve">8a-4p ibu support / </t>
    </r>
    <r>
      <rPr>
        <b/>
        <sz val="11"/>
        <color theme="8"/>
        <rFont val="Aptos Narrow"/>
        <family val="2"/>
        <scheme val="minor"/>
      </rPr>
      <t>(11:30a-12:30 &amp; 2:30-3p f9 elev)</t>
    </r>
  </si>
  <si>
    <t>Intern Prabesh</t>
  </si>
  <si>
    <r>
      <t xml:space="preserve">11a-7p f9 DESK TR </t>
    </r>
    <r>
      <rPr>
        <b/>
        <sz val="11"/>
        <color theme="8"/>
        <rFont val="Aptos Narrow"/>
        <family val="2"/>
        <scheme val="minor"/>
      </rPr>
      <t>(11:30a-12:30 &amp; 2:30-3:30 f9 elev)</t>
    </r>
  </si>
  <si>
    <t>Sheridan college VIP -9ppl F9 MR //.                                     CS Event- Construyendo Conexiones Association , 4:30 pm TO 6:00pm f10</t>
  </si>
  <si>
    <t>Recruitment event 10 am to 3pm- Vietnammese - HNV foundation</t>
  </si>
  <si>
    <t>9a-1pm offsite/ 1-8:30p</t>
  </si>
  <si>
    <t>8a-1p f9/ B@1/ 1:30p-5w fran</t>
  </si>
  <si>
    <t>9a-4p event/ B@4/ 4:30-7p f9</t>
  </si>
  <si>
    <t>10:30a-1p f9</t>
  </si>
  <si>
    <r>
      <rPr>
        <b/>
        <sz val="11"/>
        <rFont val="Aptos Narrow"/>
        <family val="2"/>
        <scheme val="minor"/>
      </rPr>
      <t xml:space="preserve">10a-7f8 </t>
    </r>
    <r>
      <rPr>
        <b/>
        <sz val="11"/>
        <color rgb="FF0070C0"/>
        <rFont val="Aptos Narrow"/>
        <family val="2"/>
        <scheme val="minor"/>
      </rPr>
      <t>B@3:30</t>
    </r>
  </si>
  <si>
    <r>
      <rPr>
        <b/>
        <sz val="11"/>
        <rFont val="Aptos Narrow"/>
        <family val="2"/>
        <scheme val="minor"/>
      </rPr>
      <t>8:30a-11a f8</t>
    </r>
    <r>
      <rPr>
        <b/>
        <sz val="11"/>
        <color theme="8"/>
        <rFont val="Aptos Narrow"/>
        <family val="2"/>
        <scheme val="minor"/>
      </rPr>
      <t xml:space="preserve">/ </t>
    </r>
    <r>
      <rPr>
        <b/>
        <sz val="11"/>
        <color theme="7"/>
        <rFont val="Aptos Narrow"/>
        <family val="2"/>
        <scheme val="minor"/>
      </rPr>
      <t>B@11/</t>
    </r>
    <r>
      <rPr>
        <b/>
        <sz val="11"/>
        <color theme="8"/>
        <rFont val="Aptos Narrow"/>
        <family val="2"/>
        <scheme val="minor"/>
      </rPr>
      <t xml:space="preserve"> 11:30a-12:30 ele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F12</t>
    </r>
    <r>
      <rPr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 12:30-7</t>
    </r>
    <r>
      <rPr>
        <sz val="11"/>
        <color rgb="FFFF0000"/>
        <rFont val="Aptos Narrow"/>
        <family val="2"/>
        <scheme val="minor"/>
      </rPr>
      <t xml:space="preserve"> f12 CC </t>
    </r>
    <r>
      <rPr>
        <sz val="11"/>
        <color rgb="FF0070C0"/>
        <rFont val="Aptos Narrow"/>
        <family val="2"/>
        <scheme val="minor"/>
      </rPr>
      <t>B@3:30</t>
    </r>
  </si>
  <si>
    <r>
      <rPr>
        <b/>
        <sz val="11"/>
        <color theme="8"/>
        <rFont val="Aptos Narrow"/>
        <family val="2"/>
        <scheme val="minor"/>
      </rPr>
      <t>11:30a-12:30 ele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F12</t>
    </r>
    <r>
      <rPr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 12:30-7</t>
    </r>
    <r>
      <rPr>
        <sz val="11"/>
        <color rgb="FFFF0000"/>
        <rFont val="Aptos Narrow"/>
        <family val="2"/>
        <scheme val="minor"/>
      </rPr>
      <t xml:space="preserve"> f12 </t>
    </r>
    <r>
      <rPr>
        <sz val="11"/>
        <color rgb="FF0070C0"/>
        <rFont val="Aptos Narrow"/>
        <family val="2"/>
        <scheme val="minor"/>
      </rPr>
      <t>B@3:30</t>
    </r>
  </si>
  <si>
    <t>11a-3p f8</t>
  </si>
  <si>
    <t>8a-10:30af9/ B@10:30/ 11a-6p f8</t>
  </si>
  <si>
    <t>8a-6p f9 + help w event</t>
  </si>
  <si>
    <t>8:30a-11a f8/ 3p-6p f8</t>
  </si>
  <si>
    <r>
      <t xml:space="preserve">8a-4p f12 </t>
    </r>
    <r>
      <rPr>
        <sz val="11"/>
        <color rgb="FF0070C0"/>
        <rFont val="Aptos Narrow"/>
        <family val="2"/>
        <scheme val="minor"/>
      </rPr>
      <t xml:space="preserve">B@1:15 </t>
    </r>
    <r>
      <rPr>
        <b/>
        <sz val="11"/>
        <color theme="8"/>
        <rFont val="Aptos Narrow"/>
        <family val="2"/>
        <scheme val="minor"/>
      </rPr>
      <t>(2:15p-3:15p elev f12)</t>
    </r>
    <r>
      <rPr>
        <sz val="11"/>
        <color theme="8"/>
        <rFont val="Aptos Narrow"/>
        <family val="2"/>
        <scheme val="minor"/>
      </rPr>
      <t xml:space="preserve"> </t>
    </r>
  </si>
  <si>
    <r>
      <t>8a-10a f8 &amp;CC/ 10a-3:15p f12</t>
    </r>
    <r>
      <rPr>
        <b/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</t>
    </r>
    <r>
      <rPr>
        <b/>
        <sz val="11"/>
        <color theme="7"/>
        <rFont val="Aptos Narrow"/>
        <family val="2"/>
        <scheme val="minor"/>
      </rPr>
      <t xml:space="preserve">B@1:15/ </t>
    </r>
    <r>
      <rPr>
        <sz val="11"/>
        <rFont val="Aptos Narrow"/>
        <family val="2"/>
        <scheme val="minor"/>
      </rPr>
      <t xml:space="preserve"> 3:15-4p f8CC/ f12CC 4-5:30 </t>
    </r>
  </si>
  <si>
    <t>4p-7p TR desk f9</t>
  </si>
  <si>
    <r>
      <t xml:space="preserve">8:30a-4p f12 </t>
    </r>
    <r>
      <rPr>
        <sz val="11"/>
        <color rgb="FF0070C0"/>
        <rFont val="Aptos Narrow"/>
        <family val="2"/>
        <scheme val="minor"/>
      </rPr>
      <t xml:space="preserve">B@1:15 </t>
    </r>
    <r>
      <rPr>
        <b/>
        <sz val="11"/>
        <color theme="8"/>
        <rFont val="Aptos Narrow"/>
        <family val="2"/>
        <scheme val="minor"/>
      </rPr>
      <t>(2:15p-3:15p elev f12)</t>
    </r>
    <r>
      <rPr>
        <sz val="11"/>
        <color theme="8"/>
        <rFont val="Aptos Narrow"/>
        <family val="2"/>
        <scheme val="minor"/>
      </rPr>
      <t xml:space="preserve"> </t>
    </r>
  </si>
  <si>
    <r>
      <t xml:space="preserve">8a-3:30p f12 </t>
    </r>
    <r>
      <rPr>
        <sz val="11"/>
        <color rgb="FF0070C0"/>
        <rFont val="Aptos Narrow"/>
        <family val="2"/>
        <scheme val="minor"/>
      </rPr>
      <t xml:space="preserve">B@1:15 </t>
    </r>
    <r>
      <rPr>
        <b/>
        <sz val="11"/>
        <color theme="8"/>
        <rFont val="Aptos Narrow"/>
        <family val="2"/>
        <scheme val="minor"/>
      </rPr>
      <t>(2:15p-2:55p elev f12)</t>
    </r>
    <r>
      <rPr>
        <sz val="11"/>
        <color theme="8"/>
        <rFont val="Aptos Narrow"/>
        <family val="2"/>
        <scheme val="minor"/>
      </rPr>
      <t xml:space="preserve"> </t>
    </r>
  </si>
  <si>
    <t xml:space="preserve">8:30a-11a f8/ 11a-4p f12 B@1:15 (2:15p-3:15p elev f12) </t>
  </si>
  <si>
    <r>
      <t xml:space="preserve">8a-11a </t>
    </r>
    <r>
      <rPr>
        <sz val="11"/>
        <color rgb="FFFF0000"/>
        <rFont val="Aptos Narrow"/>
        <family val="2"/>
        <scheme val="minor"/>
      </rPr>
      <t>TR f9</t>
    </r>
    <r>
      <rPr>
        <sz val="11"/>
        <rFont val="Aptos Narrow"/>
        <family val="2"/>
        <scheme val="minor"/>
      </rPr>
      <t xml:space="preserve"> Desk Train</t>
    </r>
  </si>
  <si>
    <r>
      <rPr>
        <b/>
        <sz val="11"/>
        <color theme="8"/>
        <rFont val="Aptos Narrow"/>
        <family val="2"/>
        <scheme val="minor"/>
      </rPr>
      <t>11:30a-12:30 ele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F12</t>
    </r>
    <r>
      <rPr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 12:30-7</t>
    </r>
    <r>
      <rPr>
        <sz val="11"/>
        <color rgb="FFFF0000"/>
        <rFont val="Aptos Narrow"/>
        <family val="2"/>
        <scheme val="minor"/>
      </rPr>
      <t xml:space="preserve"> f12 </t>
    </r>
    <r>
      <rPr>
        <b/>
        <sz val="11"/>
        <color rgb="FF0070C0"/>
        <rFont val="Aptos Narrow"/>
        <family val="2"/>
        <scheme val="minor"/>
      </rPr>
      <t>B@3</t>
    </r>
  </si>
  <si>
    <t>1p-4p f9</t>
  </si>
  <si>
    <t>1-7p f9</t>
  </si>
  <si>
    <r>
      <t xml:space="preserve">8a-5p ibu support + event </t>
    </r>
    <r>
      <rPr>
        <b/>
        <sz val="11"/>
        <color theme="8"/>
        <rFont val="Aptos Narrow"/>
        <family val="2"/>
        <scheme val="minor"/>
      </rPr>
      <t xml:space="preserve"> (11:30a-12:30 &amp; 2:30-3p f9 elev)</t>
    </r>
  </si>
  <si>
    <r>
      <t xml:space="preserve">8a-3p ibu support / </t>
    </r>
    <r>
      <rPr>
        <b/>
        <sz val="11"/>
        <color theme="8"/>
        <rFont val="Aptos Narrow"/>
        <family val="2"/>
        <scheme val="minor"/>
      </rPr>
      <t>(11:30a-12:30 &amp; 2:30-3p f9 elev)</t>
    </r>
  </si>
  <si>
    <r>
      <t xml:space="preserve">8a-4pf9 DESK TR </t>
    </r>
    <r>
      <rPr>
        <b/>
        <sz val="11"/>
        <color theme="8"/>
        <rFont val="Aptos Narrow"/>
        <family val="2"/>
        <scheme val="minor"/>
      </rPr>
      <t>(11:30a-12:30 &amp; 2:30-3:30 f9 elev)</t>
    </r>
  </si>
  <si>
    <t>Enrollment continues on f12</t>
  </si>
  <si>
    <t>9a-5 +9:30-11a</t>
  </si>
  <si>
    <t>9a-12a</t>
  </si>
  <si>
    <t>Ottawa</t>
  </si>
  <si>
    <t>8a-9a f9/ 9a-4 w fran</t>
  </si>
  <si>
    <t>8a-5p</t>
  </si>
  <si>
    <t>9a-10:30 w fran/ 11a-3p f9/3-4 w fran</t>
  </si>
  <si>
    <t>9a-10:30 floor/ 11a-1p f8/ 1-2 wrap up + owed hour</t>
  </si>
  <si>
    <t xml:space="preserve">8a-12p f10 </t>
  </si>
  <si>
    <t>8a-6p f9</t>
  </si>
  <si>
    <t>9a-1p w fran projs</t>
  </si>
  <si>
    <r>
      <rPr>
        <b/>
        <sz val="11"/>
        <color theme="8"/>
        <rFont val="Aptos Narrow"/>
        <family val="2"/>
        <scheme val="minor"/>
      </rPr>
      <t>11:30a-12:30 f8 elev</t>
    </r>
    <r>
      <rPr>
        <sz val="11"/>
        <rFont val="Aptos Narrow"/>
        <family val="2"/>
        <scheme val="minor"/>
      </rPr>
      <t>/ 12:30-1f8/</t>
    </r>
    <r>
      <rPr>
        <sz val="11"/>
        <color rgb="FFFF0000"/>
        <rFont val="Aptos Narrow"/>
        <family val="2"/>
        <scheme val="minor"/>
      </rPr>
      <t xml:space="preserve"> 1p-4:30p INV</t>
    </r>
    <r>
      <rPr>
        <sz val="11"/>
        <rFont val="Aptos Narrow"/>
        <family val="2"/>
        <scheme val="minor"/>
      </rPr>
      <t xml:space="preserve">/ </t>
    </r>
    <r>
      <rPr>
        <b/>
        <sz val="11"/>
        <color theme="7"/>
        <rFont val="Aptos Narrow"/>
        <family val="2"/>
        <scheme val="minor"/>
      </rPr>
      <t>B@4:30</t>
    </r>
    <r>
      <rPr>
        <sz val="11"/>
        <rFont val="Aptos Narrow"/>
        <family val="2"/>
        <scheme val="minor"/>
      </rPr>
      <t>/ 5-7 f9</t>
    </r>
  </si>
  <si>
    <t>8a-3p f9 B@12:30</t>
  </si>
  <si>
    <t>8a-11a f8/ 3p-7p f9</t>
  </si>
  <si>
    <t>8a-11a f8/ 3:30p-7p f9</t>
  </si>
  <si>
    <r>
      <t xml:space="preserve">8a-6pf8 </t>
    </r>
    <r>
      <rPr>
        <b/>
        <sz val="11"/>
        <color theme="7"/>
        <rFont val="Aptos Narrow"/>
        <family val="2"/>
        <scheme val="minor"/>
      </rPr>
      <t>B@2pm</t>
    </r>
  </si>
  <si>
    <t>8a-5p f9</t>
  </si>
  <si>
    <t>8a-1pm FURNITURE</t>
  </si>
  <si>
    <t>8a-4p f8</t>
  </si>
  <si>
    <r>
      <rPr>
        <b/>
        <sz val="11"/>
        <rFont val="Aptos Narrow"/>
        <family val="2"/>
        <scheme val="minor"/>
      </rPr>
      <t xml:space="preserve">9:30-7 WFH </t>
    </r>
    <r>
      <rPr>
        <b/>
        <sz val="11"/>
        <color rgb="FF0070C0"/>
        <rFont val="Aptos Narrow"/>
        <family val="2"/>
        <scheme val="minor"/>
      </rPr>
      <t>B@3:30</t>
    </r>
  </si>
  <si>
    <t>8a-4:30p WFH</t>
  </si>
  <si>
    <t>8a-11am TR desk f9</t>
  </si>
  <si>
    <t xml:space="preserve">11:30a-12:30 ele F12 / 12:30-7 f12 B@3:30 </t>
  </si>
  <si>
    <r>
      <t xml:space="preserve">4p-7p </t>
    </r>
    <r>
      <rPr>
        <sz val="11"/>
        <color rgb="FFFF0000"/>
        <rFont val="Aptos Narrow"/>
        <family val="2"/>
        <scheme val="minor"/>
      </rPr>
      <t>TR f9</t>
    </r>
  </si>
  <si>
    <t>4p-6p f8/ 6p-7p f9</t>
  </si>
  <si>
    <r>
      <t xml:space="preserve">2p-2:30 f8/ </t>
    </r>
    <r>
      <rPr>
        <b/>
        <sz val="11"/>
        <color theme="8"/>
        <rFont val="Aptos Narrow"/>
        <family val="2"/>
        <scheme val="minor"/>
      </rPr>
      <t>2:30-3:30 elev f8</t>
    </r>
    <r>
      <rPr>
        <sz val="11"/>
        <rFont val="Aptos Narrow"/>
        <family val="2"/>
        <scheme val="minor"/>
      </rPr>
      <t>/ 4p-7p f9</t>
    </r>
  </si>
  <si>
    <t>1p-4:30p INV handover</t>
  </si>
  <si>
    <t>12:30p-3p f9</t>
  </si>
  <si>
    <t>1p-6p f8</t>
  </si>
  <si>
    <t>RECRUITMENT EVENT offsite</t>
  </si>
  <si>
    <t>Jasmeen</t>
  </si>
  <si>
    <r>
      <t xml:space="preserve">8a-3:30p w Adonis </t>
    </r>
    <r>
      <rPr>
        <b/>
        <sz val="11"/>
        <color theme="8"/>
        <rFont val="Aptos Narrow"/>
        <family val="2"/>
        <scheme val="minor"/>
      </rPr>
      <t>(11:30a-12:30 &amp; 2:30-3:30 f9 elev)</t>
    </r>
  </si>
  <si>
    <t>8a-1p w Adonis</t>
  </si>
  <si>
    <r>
      <t xml:space="preserve">8a-4p w Adonis </t>
    </r>
    <r>
      <rPr>
        <b/>
        <sz val="11"/>
        <color theme="8"/>
        <rFont val="Aptos Narrow"/>
        <family val="2"/>
        <scheme val="minor"/>
      </rPr>
      <t>(11:30a-12:30 &amp; 2:30-3:30 f9 elev)</t>
    </r>
  </si>
  <si>
    <t>Shifts Will Vary based on class schedule, Availability &amp; RO's</t>
  </si>
  <si>
    <t>HOLIDAY LABOUR DAY</t>
  </si>
  <si>
    <t>ORIENTATION</t>
  </si>
  <si>
    <t>Faculty Workshop 10th floor 10a-12:30  / Enrollment continues on f12</t>
  </si>
  <si>
    <t>FIRST DAY OF CLASS / Enrollment continues on f12</t>
  </si>
  <si>
    <t>Enrollment continues on f12  / Furniture piclup 8am for Ottawa 24 tables+50 chairs</t>
  </si>
  <si>
    <t>8a-4pm/ 10p-11pm movers</t>
  </si>
  <si>
    <t>7:45a-4:45</t>
  </si>
  <si>
    <r>
      <t>8a-4 on the floor+</t>
    </r>
    <r>
      <rPr>
        <b/>
        <sz val="11"/>
        <color theme="8"/>
        <rFont val="Aptos Narrow"/>
        <family val="2"/>
        <scheme val="minor"/>
      </rPr>
      <t xml:space="preserve">  (ELEV F8 11:30-12:30 &amp; 2:30-3:30) </t>
    </r>
  </si>
  <si>
    <t>8a-4p (11:30a-3p w Fran-o f8)</t>
  </si>
  <si>
    <t>8a-12p f12 CC</t>
  </si>
  <si>
    <t>8a-12pm f10 CC</t>
  </si>
  <si>
    <t>8a-12p f10 CC</t>
  </si>
  <si>
    <r>
      <t>8a-3 f8 event/</t>
    </r>
    <r>
      <rPr>
        <b/>
        <sz val="11"/>
        <rFont val="Aptos Narrow"/>
        <family val="2"/>
        <scheme val="minor"/>
      </rPr>
      <t xml:space="preserve"> 3-5 PROJ</t>
    </r>
  </si>
  <si>
    <t xml:space="preserve">9a-6 PROJ </t>
  </si>
  <si>
    <t>8a-3:30p PROJ</t>
  </si>
  <si>
    <t xml:space="preserve">9a-5p EVENT+ RESET </t>
  </si>
  <si>
    <t>8a-11:30a f8/3p-7p f9</t>
  </si>
  <si>
    <t>8a-11:30a f8/3p-7p f8</t>
  </si>
  <si>
    <t>12:30p-8p event +RESET</t>
  </si>
  <si>
    <t>9a-5pm RESET</t>
  </si>
  <si>
    <t>11a-5p f9</t>
  </si>
  <si>
    <t>3p-4 f8/ 4-7p f9</t>
  </si>
  <si>
    <t>8a-7p f9 + reset (2x 30 min brks) CLOSE building</t>
  </si>
  <si>
    <r>
      <t>8a-3p f9/ 3p-3:30 f8</t>
    </r>
    <r>
      <rPr>
        <sz val="11"/>
        <color theme="7"/>
        <rFont val="Aptos Narrow"/>
        <family val="2"/>
        <scheme val="minor"/>
      </rPr>
      <t xml:space="preserve"> B@11a</t>
    </r>
  </si>
  <si>
    <t>8a-4pf9</t>
  </si>
  <si>
    <r>
      <t xml:space="preserve">8a-5:30p f12 </t>
    </r>
    <r>
      <rPr>
        <sz val="11"/>
        <color rgb="FF0070C0"/>
        <rFont val="Aptos Narrow"/>
        <family val="2"/>
        <scheme val="minor"/>
      </rPr>
      <t>B@1</t>
    </r>
    <r>
      <rPr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CC</t>
    </r>
  </si>
  <si>
    <t>8a-4pm CC f9 B@12</t>
  </si>
  <si>
    <r>
      <t xml:space="preserve">11a-11:30 f9/11:30-7p f8 </t>
    </r>
    <r>
      <rPr>
        <sz val="11"/>
        <color theme="7"/>
        <rFont val="Aptos Narrow"/>
        <family val="2"/>
        <scheme val="minor"/>
      </rPr>
      <t>B@3</t>
    </r>
  </si>
  <si>
    <t>11a-7 CC f9 B@3</t>
  </si>
  <si>
    <r>
      <t xml:space="preserve">8a-4:30p f12 </t>
    </r>
    <r>
      <rPr>
        <sz val="11"/>
        <color rgb="FF0070C0"/>
        <rFont val="Aptos Narrow"/>
        <family val="2"/>
        <scheme val="minor"/>
      </rPr>
      <t xml:space="preserve">B@1:15 </t>
    </r>
    <r>
      <rPr>
        <b/>
        <sz val="11"/>
        <color theme="8"/>
        <rFont val="Aptos Narrow"/>
        <family val="2"/>
        <scheme val="minor"/>
      </rPr>
      <t>(2:15p-2:55p elev f12)</t>
    </r>
    <r>
      <rPr>
        <sz val="11"/>
        <color theme="8"/>
        <rFont val="Aptos Narrow"/>
        <family val="2"/>
        <scheme val="minor"/>
      </rPr>
      <t xml:space="preserve"> </t>
    </r>
  </si>
  <si>
    <r>
      <rPr>
        <sz val="11"/>
        <rFont val="Aptos Narrow"/>
        <family val="2"/>
        <scheme val="minor"/>
      </rPr>
      <t>1p-7</t>
    </r>
    <r>
      <rPr>
        <sz val="11"/>
        <color rgb="FFFF0000"/>
        <rFont val="Aptos Narrow"/>
        <family val="2"/>
        <scheme val="minor"/>
      </rPr>
      <t xml:space="preserve"> f12 </t>
    </r>
    <r>
      <rPr>
        <sz val="11"/>
        <color rgb="FF0070C0"/>
        <rFont val="Aptos Narrow"/>
        <family val="2"/>
        <scheme val="minor"/>
      </rPr>
      <t>B@3</t>
    </r>
    <r>
      <rPr>
        <sz val="11"/>
        <color rgb="FFFF0000"/>
        <rFont val="Aptos Narrow"/>
        <family val="2"/>
        <scheme val="minor"/>
      </rPr>
      <t xml:space="preserve"> CC</t>
    </r>
  </si>
  <si>
    <r>
      <rPr>
        <b/>
        <sz val="11"/>
        <color theme="8"/>
        <rFont val="Aptos Narrow"/>
        <family val="2"/>
        <scheme val="minor"/>
      </rPr>
      <t>11:30a-12:30 ele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F12</t>
    </r>
    <r>
      <rPr>
        <sz val="11"/>
        <color theme="8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 11a-7p</t>
    </r>
    <r>
      <rPr>
        <sz val="11"/>
        <color rgb="FFFF0000"/>
        <rFont val="Aptos Narrow"/>
        <family val="2"/>
        <scheme val="minor"/>
      </rPr>
      <t xml:space="preserve"> f12 </t>
    </r>
    <r>
      <rPr>
        <b/>
        <sz val="11"/>
        <color rgb="FF0070C0"/>
        <rFont val="Aptos Narrow"/>
        <family val="2"/>
        <scheme val="minor"/>
      </rPr>
      <t>B@3</t>
    </r>
  </si>
  <si>
    <t>3:30p-7p f12 CC</t>
  </si>
  <si>
    <t>8a-11 f8</t>
  </si>
  <si>
    <t>8a-11a / 5p-7p clean+ lock up</t>
  </si>
  <si>
    <t>8a-11a f9/ 5p-7p f9</t>
  </si>
  <si>
    <t>8a-6p f8 CC B@3:30</t>
  </si>
  <si>
    <t>12p-8p  event+ RESET</t>
  </si>
  <si>
    <t>9a-3:30pm RESET</t>
  </si>
  <si>
    <r>
      <t>8a-3p w Adonis</t>
    </r>
    <r>
      <rPr>
        <b/>
        <sz val="11"/>
        <color theme="8"/>
        <rFont val="Aptos Narrow"/>
        <family val="2"/>
        <scheme val="minor"/>
      </rPr>
      <t xml:space="preserve"> (ELEV F9 11:30-12:30 &amp; 2:30-3:30) </t>
    </r>
  </si>
  <si>
    <t>11:30a-3p f8 w Aashima TR</t>
  </si>
  <si>
    <t>9a-2pm</t>
  </si>
  <si>
    <r>
      <t xml:space="preserve">READING WEEK / </t>
    </r>
    <r>
      <rPr>
        <b/>
        <sz val="12"/>
        <color rgb="FFFF0000"/>
        <rFont val="Aptos Narrow"/>
        <family val="2"/>
        <scheme val="minor"/>
      </rPr>
      <t>Enrollment week f8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10a-4p</t>
    </r>
  </si>
  <si>
    <r>
      <t>rm 1001 VIP Prez meeting 3-4pm/ READING WK /</t>
    </r>
    <r>
      <rPr>
        <b/>
        <sz val="12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ENROLL WK F8 10a-4p</t>
    </r>
  </si>
  <si>
    <r>
      <t xml:space="preserve">READING WEEK / </t>
    </r>
    <r>
      <rPr>
        <b/>
        <sz val="12"/>
        <color rgb="FFFF0000"/>
        <rFont val="Aptos Narrow"/>
        <family val="2"/>
        <scheme val="minor"/>
      </rPr>
      <t>Enrollment wk f8 10a-4p</t>
    </r>
  </si>
  <si>
    <r>
      <t xml:space="preserve">READING WEEK / </t>
    </r>
    <r>
      <rPr>
        <b/>
        <sz val="12"/>
        <color rgb="FFFF0000"/>
        <rFont val="Aptos Narrow"/>
        <family val="2"/>
        <scheme val="minor"/>
      </rPr>
      <t>Enrollment wk f8  - 10am-4pm</t>
    </r>
    <r>
      <rPr>
        <sz val="11"/>
        <color theme="1"/>
        <rFont val="Aptos Narrow"/>
        <family val="2"/>
        <scheme val="minor"/>
      </rPr>
      <t xml:space="preserve"> / Dalida last day</t>
    </r>
  </si>
  <si>
    <t>READING WEEK       Uvidi, Jasmeen &amp; Pallavi Last Day</t>
  </si>
  <si>
    <t>Fran SManager</t>
  </si>
  <si>
    <t>9a-7a</t>
  </si>
  <si>
    <t>8a-12p</t>
  </si>
  <si>
    <t>Aashima Supervisor</t>
  </si>
  <si>
    <t>8a-4</t>
  </si>
  <si>
    <t>8a-12 Enrollment 12:30-4 w fran</t>
  </si>
  <si>
    <t>9a-10 f8/10-11:30 Fran/11:30a-2:30 Tr Kavya f10/ 2:30-5 Fran</t>
  </si>
  <si>
    <t>8a-12 TR Saraf10/ B@12/ 12:30-4 w fran</t>
  </si>
  <si>
    <t>8a-10a w Kavya f10CC/10a-12 w fran/ 12-2p w Chinnesha/</t>
  </si>
  <si>
    <t>9a-12p f9 TR w Uvidi f12</t>
  </si>
  <si>
    <t>8a-11a f9 TR CC w Pablo</t>
  </si>
  <si>
    <t>8a-12p f10 w Aashima</t>
  </si>
  <si>
    <t xml:space="preserve">Sridevi </t>
  </si>
  <si>
    <t xml:space="preserve">8a-4p f8 </t>
  </si>
  <si>
    <t>8a-4:30p f9/ TR Chinnesha on CC 8a-12</t>
  </si>
  <si>
    <t>8a-11a f8 / 11a-2 CC f10</t>
  </si>
  <si>
    <t xml:space="preserve">8a-4:30p f8 </t>
  </si>
  <si>
    <r>
      <rPr>
        <b/>
        <sz val="11"/>
        <color theme="8"/>
        <rFont val="Aptos Narrow"/>
        <family val="2"/>
        <scheme val="minor"/>
      </rPr>
      <t>2p-4:30 f8</t>
    </r>
    <r>
      <rPr>
        <sz val="11"/>
        <rFont val="Aptos Narrow"/>
        <family val="2"/>
        <scheme val="minor"/>
      </rPr>
      <t>/ 4:30-7p f9</t>
    </r>
  </si>
  <si>
    <r>
      <rPr>
        <b/>
        <sz val="11"/>
        <color theme="6" tint="0.39997558519241921"/>
        <rFont val="Aptos Narrow"/>
        <family val="2"/>
        <scheme val="minor"/>
      </rPr>
      <t>3:30-4 CC f8/</t>
    </r>
    <r>
      <rPr>
        <b/>
        <sz val="11"/>
        <color theme="1"/>
        <rFont val="Aptos Narrow"/>
        <family val="2"/>
        <scheme val="minor"/>
      </rPr>
      <t xml:space="preserve"> 4-7 f9</t>
    </r>
  </si>
  <si>
    <r>
      <t>8a-4:30p f9 /</t>
    </r>
    <r>
      <rPr>
        <sz val="11"/>
        <color theme="6"/>
        <rFont val="Aptos Narrow"/>
        <family val="2"/>
        <scheme val="minor"/>
      </rPr>
      <t xml:space="preserve"> TR Sarah on CC 8a-11</t>
    </r>
  </si>
  <si>
    <t xml:space="preserve">8a-2p f8 </t>
  </si>
  <si>
    <t>Pallavi</t>
  </si>
  <si>
    <t xml:space="preserve">8a-4:30p f9 </t>
  </si>
  <si>
    <t>1p-7p f12 B@3:30</t>
  </si>
  <si>
    <t>10a-12 enroll f8/12-2 w Fran/2p-7p f10 CC</t>
  </si>
  <si>
    <t>1p-7p</t>
  </si>
  <si>
    <t>1p-7p f8</t>
  </si>
  <si>
    <t>8a-4p f12 B@1</t>
  </si>
  <si>
    <t>11a-7p f12</t>
  </si>
  <si>
    <t>8a-4p f12 B@1p</t>
  </si>
  <si>
    <t>Uvidi</t>
  </si>
  <si>
    <t>8a-4p f12 B@11:30</t>
  </si>
  <si>
    <t>8a-5 f8 B@2</t>
  </si>
  <si>
    <t>1p-7p f8 B@3:30</t>
  </si>
  <si>
    <t>Kavya TRAINIING</t>
  </si>
  <si>
    <t>8a-11a Tr w Karan f12/ B@11 / 11:30-2:30 w Aashima f10</t>
  </si>
  <si>
    <t>8a-5p f8 TR w Uvidi</t>
  </si>
  <si>
    <t>8a-10a w Aashima/ 10a-1p w Karan</t>
  </si>
  <si>
    <t>1p-5p Tr w Uvidi f8</t>
  </si>
  <si>
    <t>Chinnesha TRAINING</t>
  </si>
  <si>
    <t>2p-7p f12 TR w Jasmeen</t>
  </si>
  <si>
    <t>8a-12p f9 TR w Osmaro/ B@12/ 12:30p-4 w Uvidi</t>
  </si>
  <si>
    <t>11a-7p f10 TR w Osmaro/Jasmeen B@3/3:30</t>
  </si>
  <si>
    <t>11a -12 solo CC/ 12p-1 w Aashima/ 1-3 w Jasmeen</t>
  </si>
  <si>
    <t>Francisco Ops Support</t>
  </si>
  <si>
    <t>8a-3pm WITH ADONIS</t>
  </si>
  <si>
    <t>Dalida Intern</t>
  </si>
  <si>
    <t>9a-2p w Fran</t>
  </si>
  <si>
    <t>8a-4p w Adonis</t>
  </si>
  <si>
    <t>T&amp;Talk 1003 / LAST DAY OF CLASS                      /            * Morning praz breakfast/ Lunch for         * Vega @ 12:30 /             *Prez lunch 12:30 pick-up</t>
  </si>
  <si>
    <t>all 10th FL Communicty Forum 100ppl 1p- 4p/ READING WEEK</t>
  </si>
  <si>
    <r>
      <t xml:space="preserve">READING WEEK                 </t>
    </r>
    <r>
      <rPr>
        <b/>
        <sz val="11"/>
        <color theme="9"/>
        <rFont val="Aptos Narrow"/>
        <family val="2"/>
        <scheme val="minor"/>
      </rPr>
      <t xml:space="preserve">CC TRAINING 8a-12p / </t>
    </r>
    <r>
      <rPr>
        <b/>
        <sz val="11"/>
        <rFont val="Aptos Narrow"/>
        <family val="2"/>
        <scheme val="minor"/>
      </rPr>
      <t xml:space="preserve">FAREWLL for UVIDI,JAS, Manpreet, Rustam, Dalida,  Pallavi +Bday Camilla &amp; Nahim  2pm-3:30 </t>
    </r>
  </si>
  <si>
    <t>READING WEEK / Extra Cleaning - reset classrooms</t>
  </si>
  <si>
    <t>9:30-6:30p</t>
  </si>
  <si>
    <t xml:space="preserve">8a-5 </t>
  </si>
  <si>
    <t>8a-9a f9/ 9a-11 w Fran /11-4 project</t>
  </si>
  <si>
    <t>7:45a-3:45p</t>
  </si>
  <si>
    <t>9a-9:30 w fran/ 9:30-12p f12</t>
  </si>
  <si>
    <t>8a-12p f8 TR CC</t>
  </si>
  <si>
    <t xml:space="preserve">TR 8a-12p </t>
  </si>
  <si>
    <t>8a-6p f8 B@1:30</t>
  </si>
  <si>
    <t>9a-2p w fran/ 2-3 brk/3-7 f9</t>
  </si>
  <si>
    <t>8a-12:30p f9/ 5:30-6:30p</t>
  </si>
  <si>
    <t>TR 8a-12p/  B@12/ 12:30-1 f8</t>
  </si>
  <si>
    <t>12p-4 inv/ B@4/ 4:30-7 f9</t>
  </si>
  <si>
    <t>10a-7p help w event/ welcome table</t>
  </si>
  <si>
    <t xml:space="preserve">TR 8a-12p B@12 </t>
  </si>
  <si>
    <t>11a-7p f10</t>
  </si>
  <si>
    <t>8a-3p f9 B@1</t>
  </si>
  <si>
    <t>TR 8a-12 / B@12/ 12:30-1 set-up</t>
  </si>
  <si>
    <t>8a-7p f9 (2 30-min brk)</t>
  </si>
  <si>
    <t>12-4 inv w osmaro</t>
  </si>
  <si>
    <t>1-1:30 f9/ 1:30-2 f8/ B@2/ 2:30-7 f9</t>
  </si>
  <si>
    <t>9a-3:30 f9/ 3:30-4 w Fran</t>
  </si>
  <si>
    <t>8a-6 f8</t>
  </si>
  <si>
    <t>8a-7pm (1hr brk OR 2x 30 min) f9</t>
  </si>
  <si>
    <t xml:space="preserve">11a-7p f12 </t>
  </si>
  <si>
    <t>11a-7pm f9</t>
  </si>
  <si>
    <t>11a-7pm f12 B@3pm</t>
  </si>
  <si>
    <t>8a-4pm f12 B@2</t>
  </si>
  <si>
    <t>8a-4pm f8 B@12:30pm</t>
  </si>
  <si>
    <t>8a-4p f8 B@1pm</t>
  </si>
  <si>
    <t>8a-4p f12</t>
  </si>
  <si>
    <t>8a-4p f8 B@12p</t>
  </si>
  <si>
    <t>11a-7p f12 B@3:30pm</t>
  </si>
  <si>
    <t>11a-7p f12 TRCC</t>
  </si>
  <si>
    <t>TR 8a-12p /1-3 w Jasmeen</t>
  </si>
  <si>
    <t>11a-4pm f12</t>
  </si>
  <si>
    <t>8a-4p f8 B@12pm TR CC</t>
  </si>
  <si>
    <t>TR 8a-12p / 1-3 w Karan</t>
  </si>
  <si>
    <t>Francisco TRAINING</t>
  </si>
  <si>
    <t xml:space="preserve">9a-10 w fran/10a-1p </t>
  </si>
  <si>
    <t>8a-6:30p Reception + set-up</t>
  </si>
  <si>
    <t>8a-3p with Adonis re-setting classrooms</t>
  </si>
  <si>
    <t>Intern Rustam</t>
  </si>
  <si>
    <r>
      <rPr>
        <b/>
        <sz val="11"/>
        <color theme="8"/>
        <rFont val="Aptos Narrow"/>
        <family val="2"/>
        <scheme val="minor"/>
      </rPr>
      <t xml:space="preserve">11:30a-12:30 f8 ELEV </t>
    </r>
    <r>
      <rPr>
        <b/>
        <sz val="11"/>
        <rFont val="Aptos Narrow"/>
        <family val="2"/>
        <scheme val="minor"/>
      </rPr>
      <t xml:space="preserve">/ </t>
    </r>
    <r>
      <rPr>
        <b/>
        <sz val="11"/>
        <color theme="5"/>
        <rFont val="Aptos Narrow"/>
        <family val="2"/>
        <scheme val="minor"/>
      </rPr>
      <t>12:30-2:30 w Fran/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2:30-3:30 ELEV f8/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5"/>
        <rFont val="Aptos Narrow"/>
        <family val="2"/>
        <scheme val="minor"/>
      </rPr>
      <t>3:30-5:15 No brk W Fran</t>
    </r>
  </si>
  <si>
    <t>10a-2:45p w fran</t>
  </si>
  <si>
    <t>8a-12 Aashima TR class/12-1 help Adonis set-up campus</t>
  </si>
  <si>
    <t>Intern Manpreet</t>
  </si>
  <si>
    <r>
      <rPr>
        <b/>
        <sz val="11"/>
        <color theme="8"/>
        <rFont val="Aptos Narrow"/>
        <family val="2"/>
        <scheme val="minor"/>
      </rPr>
      <t xml:space="preserve">11:30a-12:30 f8 ELEV </t>
    </r>
    <r>
      <rPr>
        <b/>
        <sz val="11"/>
        <rFont val="Aptos Narrow"/>
        <family val="2"/>
        <scheme val="minor"/>
      </rPr>
      <t xml:space="preserve">/ </t>
    </r>
    <r>
      <rPr>
        <b/>
        <sz val="11"/>
        <color theme="5"/>
        <rFont val="Aptos Narrow"/>
        <family val="2"/>
        <scheme val="minor"/>
      </rPr>
      <t>12:30-2:30 w Fran/</t>
    </r>
    <r>
      <rPr>
        <b/>
        <sz val="11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2:30-3:30 ELEV f8/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theme="5"/>
        <rFont val="Aptos Narrow"/>
        <family val="2"/>
        <scheme val="minor"/>
      </rPr>
      <t>3:30-4:30 W Fran</t>
    </r>
  </si>
  <si>
    <t>2p-7p</t>
  </si>
  <si>
    <t>Dalida FTK Intern</t>
  </si>
  <si>
    <t>3:30p-7p TR CC f12</t>
  </si>
  <si>
    <t>8a-2:30pm f12 TR CC</t>
  </si>
  <si>
    <t xml:space="preserve">9a-4p </t>
  </si>
  <si>
    <t xml:space="preserve">8a-12 TR w Aashima / </t>
  </si>
  <si>
    <t>Help w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</si>
</sst>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"/>
  </numFmts>
  <fonts count="9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</font>
    <font>
      <sz val="11"/>
      <color rgb="FF0070C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color rgb="FFD86DCD"/>
      <name val="Aptos Narrow"/>
      <family val="2"/>
    </font>
    <font>
      <b/>
      <sz val="11"/>
      <color rgb="FF44B3E1"/>
      <name val="Aptos Narrow"/>
      <family val="2"/>
    </font>
    <font>
      <sz val="11"/>
      <color theme="8" tint="0.39997558519241921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9"/>
      <color rgb="FF242424"/>
      <name val="Aptos Narrow"/>
      <family val="2"/>
    </font>
    <font>
      <b/>
      <sz val="9"/>
      <color rgb="FF242424"/>
      <name val="Aptos Narrow"/>
      <family val="2"/>
    </font>
    <font>
      <b/>
      <i/>
      <sz val="9"/>
      <color rgb="FF242424"/>
      <name val="Aptos Narrow"/>
      <family val="2"/>
    </font>
    <font>
      <b/>
      <sz val="9"/>
      <color rgb="FF4EA72E"/>
      <name val="Aptos Narrow"/>
      <family val="2"/>
    </font>
    <font>
      <b/>
      <sz val="9"/>
      <color rgb="FF0F9ED5"/>
      <name val="Aptos Narrow"/>
      <family val="2"/>
    </font>
    <font>
      <sz val="9"/>
      <color rgb="FFFF0000"/>
      <name val="Aptos Narrow"/>
      <family val="2"/>
    </font>
    <font>
      <sz val="8"/>
      <color theme="1"/>
      <name val="Aptos Narrow"/>
      <family val="2"/>
    </font>
    <font>
      <b/>
      <sz val="8"/>
      <color rgb="FFA02B93"/>
      <name val="Aptos Narrow"/>
      <family val="2"/>
    </font>
    <font>
      <b/>
      <sz val="8"/>
      <color rgb="FFC00000"/>
      <name val="Aptos Narrow"/>
      <family val="2"/>
    </font>
    <font>
      <sz val="8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2"/>
      <color rgb="FF242424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0F9ED5"/>
      <name val="Aptos Narrow"/>
      <family val="2"/>
    </font>
    <font>
      <b/>
      <sz val="11"/>
      <color rgb="FF0F9ED5"/>
      <name val="Aptos Narrow"/>
      <family val="2"/>
      <scheme val="minor"/>
    </font>
    <font>
      <b/>
      <sz val="11"/>
      <name val="Aptos Narrow"/>
      <family val="2"/>
    </font>
    <font>
      <b/>
      <sz val="11"/>
      <color theme="7"/>
      <name val="Aptos Narrow"/>
      <family val="2"/>
    </font>
    <font>
      <b/>
      <sz val="10"/>
      <color rgb="FF242424"/>
      <name val="Aptos Narrow"/>
      <family val="2"/>
    </font>
    <font>
      <b/>
      <sz val="11"/>
      <color rgb="FF44B3E1"/>
      <name val="Aptos Narrow"/>
      <family val="2"/>
      <scheme val="minor"/>
    </font>
    <font>
      <b/>
      <sz val="9"/>
      <color rgb="FF000000"/>
      <name val="Aptos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242424"/>
      <name val="Aptos Narrow"/>
      <family val="2"/>
    </font>
    <font>
      <b/>
      <sz val="10"/>
      <color rgb="FFFF0000"/>
      <name val="Aptos Narrow"/>
      <family val="2"/>
    </font>
    <font>
      <sz val="11"/>
      <color theme="1"/>
      <name val="Aptos Narrow"/>
      <family val="2"/>
    </font>
    <font>
      <b/>
      <sz val="11"/>
      <color theme="8" tint="0.79998168889431442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FF0000"/>
      <name val="Aptos Narrow"/>
      <family val="2"/>
    </font>
    <font>
      <b/>
      <sz val="12"/>
      <color rgb="FFC0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</font>
    <font>
      <sz val="11"/>
      <color theme="7"/>
      <name val="Aptos Narrow"/>
      <family val="2"/>
    </font>
    <font>
      <b/>
      <sz val="12"/>
      <color theme="9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F9ED5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 tint="0.14999847407452621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1"/>
      <color theme="8" tint="0.59999389629810485"/>
      <name val="Aptos Narrow"/>
      <family val="2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9"/>
      <color theme="9"/>
      <name val="Aptos Narrow"/>
      <family val="2"/>
      <scheme val="minor"/>
    </font>
    <font>
      <b/>
      <sz val="11"/>
      <color theme="4" tint="0.59999389629810485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rgb="FFA02B93"/>
      <name val="Aptos Narrow"/>
      <family val="2"/>
    </font>
    <font>
      <b/>
      <sz val="12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b/>
      <sz val="12"/>
      <color theme="8" tint="0.59999389629810485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theme="0" tint="-0.899990844447157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20" borderId="0" applyNumberFormat="0" applyFont="0" applyBorder="0" applyAlignment="0">
      <alignment horizontal="left" vertical="center" indent="1"/>
    </xf>
    <xf numFmtId="164" fontId="48" fillId="0" borderId="0" applyFont="0" applyFill="0" applyBorder="0" applyAlignment="0" applyProtection="0"/>
  </cellStyleXfs>
  <cellXfs count="450">
    <xf numFmtId="0" fontId="0" fillId="0" borderId="0" xfId="0"/>
    <xf numFmtId="0" fontId="3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0" borderId="1" xfId="0" applyFont="1" applyBorder="1" applyAlignment="1">
      <alignment horizontal="left"/>
    </xf>
    <xf numFmtId="16" fontId="3" fillId="8" borderId="1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7" borderId="2" xfId="0" applyFont="1" applyFill="1" applyBorder="1"/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7" borderId="2" xfId="0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3" fillId="8" borderId="3" xfId="0" applyFont="1" applyFill="1" applyBorder="1"/>
    <xf numFmtId="0" fontId="5" fillId="4" borderId="1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0" fillId="4" borderId="1" xfId="0" applyFill="1" applyBorder="1"/>
    <xf numFmtId="0" fontId="6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2" borderId="0" xfId="0" applyFill="1"/>
    <xf numFmtId="0" fontId="6" fillId="13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0" fontId="13" fillId="10" borderId="1" xfId="0" applyFont="1" applyFill="1" applyBorder="1" applyAlignment="1">
      <alignment vertical="top" wrapText="1"/>
    </xf>
    <xf numFmtId="0" fontId="6" fillId="10" borderId="2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5" fillId="10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wrapText="1"/>
    </xf>
    <xf numFmtId="0" fontId="6" fillId="10" borderId="1" xfId="0" applyFont="1" applyFill="1" applyBorder="1"/>
    <xf numFmtId="0" fontId="5" fillId="8" borderId="1" xfId="0" applyFont="1" applyFill="1" applyBorder="1" applyAlignment="1">
      <alignment wrapText="1"/>
    </xf>
    <xf numFmtId="0" fontId="3" fillId="14" borderId="1" xfId="0" applyFont="1" applyFill="1" applyBorder="1"/>
    <xf numFmtId="0" fontId="11" fillId="4" borderId="1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5" fillId="10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6" fillId="10" borderId="3" xfId="0" applyFont="1" applyFill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2" fillId="3" borderId="7" xfId="0" applyFont="1" applyFill="1" applyBorder="1" applyAlignment="1">
      <alignment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0" fontId="6" fillId="3" borderId="7" xfId="0" applyFont="1" applyFill="1" applyBorder="1" applyAlignment="1">
      <alignment wrapText="1"/>
    </xf>
    <xf numFmtId="0" fontId="6" fillId="10" borderId="7" xfId="0" applyFont="1" applyFill="1" applyBorder="1" applyAlignment="1">
      <alignment wrapText="1"/>
    </xf>
    <xf numFmtId="0" fontId="0" fillId="4" borderId="0" xfId="0" applyFill="1"/>
    <xf numFmtId="0" fontId="5" fillId="11" borderId="1" xfId="0" applyFont="1" applyFill="1" applyBorder="1" applyAlignment="1">
      <alignment wrapText="1"/>
    </xf>
    <xf numFmtId="0" fontId="4" fillId="13" borderId="1" xfId="0" applyFont="1" applyFill="1" applyBorder="1" applyAlignment="1">
      <alignment horizontal="center" wrapText="1"/>
    </xf>
    <xf numFmtId="0" fontId="0" fillId="4" borderId="0" xfId="0" applyFill="1" applyAlignment="1">
      <alignment wrapText="1"/>
    </xf>
    <xf numFmtId="0" fontId="0" fillId="3" borderId="8" xfId="0" applyFill="1" applyBorder="1"/>
    <xf numFmtId="0" fontId="6" fillId="10" borderId="6" xfId="0" applyFont="1" applyFill="1" applyBorder="1" applyAlignment="1">
      <alignment wrapText="1"/>
    </xf>
    <xf numFmtId="0" fontId="1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wrapText="1"/>
    </xf>
    <xf numFmtId="0" fontId="5" fillId="15" borderId="1" xfId="0" applyFont="1" applyFill="1" applyBorder="1" applyAlignment="1">
      <alignment wrapText="1"/>
    </xf>
    <xf numFmtId="0" fontId="13" fillId="15" borderId="1" xfId="0" applyFont="1" applyFill="1" applyBorder="1" applyAlignment="1">
      <alignment vertical="top" wrapText="1"/>
    </xf>
    <xf numFmtId="0" fontId="11" fillId="15" borderId="1" xfId="0" applyFont="1" applyFill="1" applyBorder="1" applyAlignment="1">
      <alignment wrapText="1"/>
    </xf>
    <xf numFmtId="0" fontId="4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16" fontId="0" fillId="4" borderId="1" xfId="0" applyNumberFormat="1" applyFill="1" applyBorder="1" applyAlignment="1">
      <alignment wrapText="1"/>
    </xf>
    <xf numFmtId="0" fontId="3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/>
    <xf numFmtId="0" fontId="9" fillId="10" borderId="1" xfId="0" applyFont="1" applyFill="1" applyBorder="1" applyAlignment="1">
      <alignment wrapText="1"/>
    </xf>
    <xf numFmtId="0" fontId="3" fillId="10" borderId="2" xfId="0" applyFont="1" applyFill="1" applyBorder="1"/>
    <xf numFmtId="0" fontId="0" fillId="2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8" borderId="7" xfId="0" applyFont="1" applyFill="1" applyBorder="1"/>
    <xf numFmtId="0" fontId="19" fillId="16" borderId="9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wrapText="1"/>
    </xf>
    <xf numFmtId="0" fontId="6" fillId="6" borderId="1" xfId="0" applyFont="1" applyFill="1" applyBorder="1"/>
    <xf numFmtId="20" fontId="6" fillId="4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5" fontId="0" fillId="10" borderId="1" xfId="0" applyNumberFormat="1" applyFill="1" applyBorder="1" applyAlignment="1">
      <alignment wrapText="1"/>
    </xf>
    <xf numFmtId="0" fontId="22" fillId="4" borderId="1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7" fillId="10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7" fillId="4" borderId="1" xfId="0" applyFont="1" applyFill="1" applyBorder="1" applyAlignment="1">
      <alignment wrapText="1"/>
    </xf>
    <xf numFmtId="0" fontId="28" fillId="2" borderId="10" xfId="0" applyFont="1" applyFill="1" applyBorder="1" applyAlignment="1">
      <alignment vertical="center" wrapText="1"/>
    </xf>
    <xf numFmtId="0" fontId="29" fillId="2" borderId="9" xfId="0" applyFont="1" applyFill="1" applyBorder="1" applyAlignment="1">
      <alignment horizontal="left" vertical="center" wrapText="1"/>
    </xf>
    <xf numFmtId="0" fontId="28" fillId="2" borderId="10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wrapText="1"/>
    </xf>
    <xf numFmtId="16" fontId="3" fillId="8" borderId="5" xfId="0" applyNumberFormat="1" applyFont="1" applyFill="1" applyBorder="1" applyAlignment="1">
      <alignment horizontal="left"/>
    </xf>
    <xf numFmtId="0" fontId="0" fillId="9" borderId="3" xfId="0" applyFill="1" applyBorder="1" applyAlignment="1">
      <alignment wrapText="1"/>
    </xf>
    <xf numFmtId="0" fontId="34" fillId="2" borderId="1" xfId="0" applyFont="1" applyFill="1" applyBorder="1" applyAlignment="1">
      <alignment vertical="top" wrapText="1"/>
    </xf>
    <xf numFmtId="0" fontId="35" fillId="7" borderId="1" xfId="0" applyFont="1" applyFill="1" applyBorder="1" applyAlignment="1">
      <alignment vertical="top" wrapText="1"/>
    </xf>
    <xf numFmtId="0" fontId="36" fillId="2" borderId="9" xfId="0" applyFont="1" applyFill="1" applyBorder="1" applyAlignment="1">
      <alignment horizontal="left" vertical="center" wrapText="1"/>
    </xf>
    <xf numFmtId="0" fontId="35" fillId="7" borderId="2" xfId="0" applyFont="1" applyFill="1" applyBorder="1" applyAlignment="1">
      <alignment horizontal="center" vertical="top" wrapText="1"/>
    </xf>
    <xf numFmtId="0" fontId="35" fillId="7" borderId="6" xfId="0" applyFont="1" applyFill="1" applyBorder="1" applyAlignment="1">
      <alignment vertical="top" wrapText="1"/>
    </xf>
    <xf numFmtId="0" fontId="37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38" fillId="2" borderId="0" xfId="0" applyFont="1" applyFill="1" applyAlignment="1">
      <alignment horizontal="left" vertical="top" wrapText="1" indent="1"/>
    </xf>
    <xf numFmtId="0" fontId="38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wrapText="1"/>
    </xf>
    <xf numFmtId="0" fontId="0" fillId="2" borderId="0" xfId="0" applyFill="1"/>
    <xf numFmtId="0" fontId="36" fillId="2" borderId="1" xfId="0" applyFont="1" applyFill="1" applyBorder="1" applyAlignment="1">
      <alignment vertical="top" wrapText="1"/>
    </xf>
    <xf numFmtId="0" fontId="38" fillId="2" borderId="0" xfId="0" applyFont="1" applyFill="1" applyAlignment="1">
      <alignment horizontal="left" vertical="top" wrapText="1"/>
    </xf>
    <xf numFmtId="0" fontId="44" fillId="2" borderId="1" xfId="0" applyFont="1" applyFill="1" applyBorder="1" applyAlignment="1">
      <alignment vertical="top" wrapText="1"/>
    </xf>
    <xf numFmtId="0" fontId="48" fillId="6" borderId="0" xfId="0" applyFont="1" applyFill="1" applyAlignment="1">
      <alignment wrapText="1"/>
    </xf>
    <xf numFmtId="0" fontId="49" fillId="2" borderId="1" xfId="0" applyFont="1" applyFill="1" applyBorder="1" applyAlignment="1">
      <alignment vertical="top" wrapText="1"/>
    </xf>
    <xf numFmtId="0" fontId="5" fillId="17" borderId="3" xfId="0" applyFont="1" applyFill="1" applyBorder="1" applyAlignment="1">
      <alignment wrapText="1"/>
    </xf>
    <xf numFmtId="0" fontId="5" fillId="10" borderId="3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6" fillId="18" borderId="1" xfId="0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7" fillId="19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7" fillId="20" borderId="1" xfId="0" applyFont="1" applyFill="1" applyBorder="1" applyAlignment="1">
      <alignment wrapText="1"/>
    </xf>
    <xf numFmtId="0" fontId="5" fillId="19" borderId="1" xfId="0" applyFont="1" applyFill="1" applyBorder="1" applyAlignment="1">
      <alignment wrapText="1"/>
    </xf>
    <xf numFmtId="0" fontId="6" fillId="19" borderId="1" xfId="0" applyFont="1" applyFill="1" applyBorder="1" applyAlignment="1">
      <alignment wrapText="1"/>
    </xf>
    <xf numFmtId="20" fontId="6" fillId="19" borderId="1" xfId="0" applyNumberFormat="1" applyFont="1" applyFill="1" applyBorder="1" applyAlignment="1">
      <alignment wrapText="1"/>
    </xf>
    <xf numFmtId="0" fontId="3" fillId="20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3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wrapText="1"/>
    </xf>
    <xf numFmtId="0" fontId="3" fillId="20" borderId="1" xfId="0" applyFont="1" applyFill="1" applyBorder="1" applyAlignment="1">
      <alignment horizontal="left" vertical="top" wrapText="1"/>
    </xf>
    <xf numFmtId="0" fontId="3" fillId="19" borderId="1" xfId="0" applyFont="1" applyFill="1" applyBorder="1" applyAlignment="1">
      <alignment wrapText="1"/>
    </xf>
    <xf numFmtId="0" fontId="3" fillId="19" borderId="1" xfId="0" applyFont="1" applyFill="1" applyBorder="1" applyAlignment="1">
      <alignment horizontal="left" vertical="top" wrapText="1"/>
    </xf>
    <xf numFmtId="0" fontId="50" fillId="2" borderId="1" xfId="0" applyFont="1" applyFill="1" applyBorder="1"/>
    <xf numFmtId="0" fontId="50" fillId="0" borderId="1" xfId="0" applyFont="1" applyBorder="1"/>
    <xf numFmtId="0" fontId="50" fillId="3" borderId="1" xfId="0" applyFont="1" applyFill="1" applyBorder="1"/>
    <xf numFmtId="0" fontId="50" fillId="20" borderId="1" xfId="0" applyFont="1" applyFill="1" applyBorder="1"/>
    <xf numFmtId="0" fontId="50" fillId="18" borderId="1" xfId="0" applyFont="1" applyFill="1" applyBorder="1"/>
    <xf numFmtId="0" fontId="50" fillId="15" borderId="1" xfId="0" applyFont="1" applyFill="1" applyBorder="1"/>
    <xf numFmtId="0" fontId="50" fillId="19" borderId="1" xfId="0" applyFont="1" applyFill="1" applyBorder="1"/>
    <xf numFmtId="0" fontId="50" fillId="9" borderId="1" xfId="0" applyFont="1" applyFill="1" applyBorder="1"/>
    <xf numFmtId="0" fontId="6" fillId="20" borderId="1" xfId="0" applyFont="1" applyFill="1" applyBorder="1" applyAlignment="1">
      <alignment wrapText="1"/>
    </xf>
    <xf numFmtId="0" fontId="52" fillId="2" borderId="0" xfId="0" applyFont="1" applyFill="1" applyAlignment="1">
      <alignment horizontal="left" vertical="top" wrapText="1" indent="1"/>
    </xf>
    <xf numFmtId="0" fontId="5" fillId="9" borderId="1" xfId="0" applyFont="1" applyFill="1" applyBorder="1" applyAlignment="1">
      <alignment wrapText="1"/>
    </xf>
    <xf numFmtId="20" fontId="2" fillId="19" borderId="1" xfId="0" applyNumberFormat="1" applyFont="1" applyFill="1" applyBorder="1" applyAlignment="1">
      <alignment wrapText="1"/>
    </xf>
    <xf numFmtId="0" fontId="4" fillId="19" borderId="1" xfId="0" applyFont="1" applyFill="1" applyBorder="1" applyAlignment="1">
      <alignment wrapText="1"/>
    </xf>
    <xf numFmtId="0" fontId="4" fillId="20" borderId="1" xfId="0" applyFont="1" applyFill="1" applyBorder="1" applyAlignment="1">
      <alignment wrapText="1"/>
    </xf>
    <xf numFmtId="0" fontId="7" fillId="11" borderId="1" xfId="0" applyFont="1" applyFill="1" applyBorder="1" applyAlignment="1">
      <alignment wrapText="1"/>
    </xf>
    <xf numFmtId="0" fontId="39" fillId="2" borderId="0" xfId="0" applyFont="1" applyFill="1" applyAlignment="1">
      <alignment horizontal="left" vertical="center" wrapText="1"/>
    </xf>
    <xf numFmtId="0" fontId="34" fillId="2" borderId="1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wrapText="1"/>
    </xf>
    <xf numFmtId="0" fontId="53" fillId="10" borderId="1" xfId="0" applyFont="1" applyFill="1" applyBorder="1" applyAlignment="1">
      <alignment wrapText="1"/>
    </xf>
    <xf numFmtId="0" fontId="54" fillId="10" borderId="1" xfId="0" applyFont="1" applyFill="1" applyBorder="1" applyAlignment="1">
      <alignment wrapText="1"/>
    </xf>
    <xf numFmtId="0" fontId="55" fillId="20" borderId="9" xfId="0" applyFont="1" applyFill="1" applyBorder="1" applyAlignment="1">
      <alignment wrapText="1"/>
    </xf>
    <xf numFmtId="0" fontId="6" fillId="10" borderId="9" xfId="0" applyFont="1" applyFill="1" applyBorder="1" applyAlignment="1">
      <alignment wrapText="1"/>
    </xf>
    <xf numFmtId="0" fontId="54" fillId="19" borderId="1" xfId="0" applyFont="1" applyFill="1" applyBorder="1" applyAlignment="1">
      <alignment wrapText="1"/>
    </xf>
    <xf numFmtId="20" fontId="6" fillId="10" borderId="1" xfId="0" applyNumberFormat="1" applyFont="1" applyFill="1" applyBorder="1" applyAlignment="1">
      <alignment wrapText="1"/>
    </xf>
    <xf numFmtId="0" fontId="4" fillId="10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wrapText="1"/>
    </xf>
    <xf numFmtId="0" fontId="0" fillId="21" borderId="1" xfId="0" applyFill="1" applyBorder="1" applyAlignment="1">
      <alignment wrapText="1"/>
    </xf>
    <xf numFmtId="0" fontId="3" fillId="0" borderId="14" xfId="0" applyFont="1" applyBorder="1"/>
    <xf numFmtId="0" fontId="3" fillId="0" borderId="0" xfId="0" applyFont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4" fillId="15" borderId="1" xfId="0" applyFont="1" applyFill="1" applyBorder="1" applyAlignment="1">
      <alignment wrapText="1"/>
    </xf>
    <xf numFmtId="0" fontId="5" fillId="20" borderId="1" xfId="0" applyFont="1" applyFill="1" applyBorder="1" applyAlignment="1">
      <alignment horizontal="left" vertical="top" wrapText="1"/>
    </xf>
    <xf numFmtId="0" fontId="61" fillId="2" borderId="0" xfId="0" applyFont="1" applyFill="1" applyAlignment="1">
      <alignment horizontal="left" vertical="top" wrapText="1"/>
    </xf>
    <xf numFmtId="0" fontId="19" fillId="2" borderId="9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wrapText="1"/>
    </xf>
    <xf numFmtId="0" fontId="55" fillId="20" borderId="1" xfId="0" applyFont="1" applyFill="1" applyBorder="1" applyAlignment="1">
      <alignment wrapText="1"/>
    </xf>
    <xf numFmtId="0" fontId="21" fillId="7" borderId="1" xfId="0" applyFont="1" applyFill="1" applyBorder="1" applyAlignment="1">
      <alignment horizontal="left" vertical="top" wrapText="1"/>
    </xf>
    <xf numFmtId="0" fontId="51" fillId="2" borderId="1" xfId="0" applyFont="1" applyFill="1" applyBorder="1" applyAlignment="1">
      <alignment horizontal="left" vertical="top" wrapText="1"/>
    </xf>
    <xf numFmtId="0" fontId="29" fillId="2" borderId="22" xfId="0" applyFont="1" applyFill="1" applyBorder="1" applyAlignment="1">
      <alignment horizontal="left" vertical="top" wrapText="1"/>
    </xf>
    <xf numFmtId="0" fontId="63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4" fillId="16" borderId="9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16" fontId="11" fillId="10" borderId="1" xfId="0" applyNumberFormat="1" applyFont="1" applyFill="1" applyBorder="1" applyAlignment="1">
      <alignment wrapText="1"/>
    </xf>
    <xf numFmtId="0" fontId="54" fillId="3" borderId="1" xfId="0" applyFont="1" applyFill="1" applyBorder="1" applyAlignment="1">
      <alignment wrapText="1"/>
    </xf>
    <xf numFmtId="0" fontId="4" fillId="18" borderId="1" xfId="0" applyFont="1" applyFill="1" applyBorder="1" applyAlignment="1">
      <alignment wrapText="1"/>
    </xf>
    <xf numFmtId="0" fontId="5" fillId="10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 wrapText="1"/>
    </xf>
    <xf numFmtId="0" fontId="4" fillId="20" borderId="1" xfId="0" applyFont="1" applyFill="1" applyBorder="1" applyAlignment="1">
      <alignment horizontal="left" wrapText="1"/>
    </xf>
    <xf numFmtId="0" fontId="55" fillId="20" borderId="1" xfId="0" applyFont="1" applyFill="1" applyBorder="1" applyAlignment="1">
      <alignment horizontal="left" wrapText="1"/>
    </xf>
    <xf numFmtId="16" fontId="11" fillId="19" borderId="1" xfId="0" applyNumberFormat="1" applyFont="1" applyFill="1" applyBorder="1" applyAlignment="1">
      <alignment horizontal="left" wrapText="1"/>
    </xf>
    <xf numFmtId="0" fontId="0" fillId="10" borderId="1" xfId="0" applyFill="1" applyBorder="1" applyAlignment="1">
      <alignment horizontal="left" wrapText="1"/>
    </xf>
    <xf numFmtId="0" fontId="11" fillId="9" borderId="1" xfId="0" applyFont="1" applyFill="1" applyBorder="1" applyAlignment="1">
      <alignment wrapText="1"/>
    </xf>
    <xf numFmtId="0" fontId="3" fillId="19" borderId="1" xfId="0" applyFont="1" applyFill="1" applyBorder="1" applyAlignment="1">
      <alignment vertical="top" wrapText="1"/>
    </xf>
    <xf numFmtId="0" fontId="66" fillId="2" borderId="0" xfId="0" applyFont="1" applyFill="1" applyAlignment="1">
      <alignment horizontal="left" vertical="top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2" borderId="0" xfId="0" applyFont="1" applyFill="1"/>
    <xf numFmtId="0" fontId="68" fillId="1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69" fillId="22" borderId="1" xfId="0" applyFont="1" applyFill="1" applyBorder="1" applyAlignment="1">
      <alignment wrapText="1"/>
    </xf>
    <xf numFmtId="0" fontId="6" fillId="22" borderId="1" xfId="0" applyFont="1" applyFill="1" applyBorder="1" applyAlignment="1">
      <alignment wrapText="1"/>
    </xf>
    <xf numFmtId="20" fontId="4" fillId="19" borderId="1" xfId="0" applyNumberFormat="1" applyFont="1" applyFill="1" applyBorder="1" applyAlignment="1">
      <alignment wrapText="1"/>
    </xf>
    <xf numFmtId="0" fontId="56" fillId="10" borderId="1" xfId="0" applyFont="1" applyFill="1" applyBorder="1" applyAlignment="1">
      <alignment wrapText="1"/>
    </xf>
    <xf numFmtId="0" fontId="39" fillId="2" borderId="0" xfId="0" applyFont="1" applyFill="1" applyAlignment="1">
      <alignment horizontal="left" vertical="top" wrapText="1"/>
    </xf>
    <xf numFmtId="0" fontId="19" fillId="2" borderId="1" xfId="0" applyFont="1" applyFill="1" applyBorder="1" applyAlignment="1">
      <alignment vertical="top" wrapText="1"/>
    </xf>
    <xf numFmtId="0" fontId="70" fillId="10" borderId="1" xfId="0" applyFont="1" applyFill="1" applyBorder="1" applyAlignment="1">
      <alignment wrapText="1"/>
    </xf>
    <xf numFmtId="0" fontId="53" fillId="19" borderId="1" xfId="0" applyFont="1" applyFill="1" applyBorder="1" applyAlignment="1">
      <alignment wrapText="1"/>
    </xf>
    <xf numFmtId="0" fontId="71" fillId="3" borderId="1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4" fillId="22" borderId="1" xfId="0" applyFont="1" applyFill="1" applyBorder="1" applyAlignment="1">
      <alignment wrapText="1"/>
    </xf>
    <xf numFmtId="0" fontId="53" fillId="22" borderId="1" xfId="0" applyFont="1" applyFill="1" applyBorder="1" applyAlignment="1">
      <alignment wrapText="1"/>
    </xf>
    <xf numFmtId="0" fontId="26" fillId="22" borderId="1" xfId="0" applyFont="1" applyFill="1" applyBorder="1" applyAlignment="1">
      <alignment wrapText="1"/>
    </xf>
    <xf numFmtId="0" fontId="71" fillId="10" borderId="1" xfId="0" applyFont="1" applyFill="1" applyBorder="1" applyAlignment="1">
      <alignment wrapText="1"/>
    </xf>
    <xf numFmtId="1" fontId="3" fillId="8" borderId="1" xfId="0" applyNumberFormat="1" applyFont="1" applyFill="1" applyBorder="1"/>
    <xf numFmtId="0" fontId="72" fillId="22" borderId="1" xfId="0" applyFont="1" applyFill="1" applyBorder="1" applyAlignment="1">
      <alignment wrapText="1"/>
    </xf>
    <xf numFmtId="0" fontId="73" fillId="10" borderId="1" xfId="0" applyFont="1" applyFill="1" applyBorder="1" applyAlignment="1">
      <alignment wrapText="1"/>
    </xf>
    <xf numFmtId="0" fontId="6" fillId="11" borderId="0" xfId="0" applyFont="1" applyFill="1"/>
    <xf numFmtId="0" fontId="6" fillId="11" borderId="1" xfId="0" applyFont="1" applyFill="1" applyBorder="1"/>
    <xf numFmtId="0" fontId="0" fillId="10" borderId="0" xfId="0" applyFill="1"/>
    <xf numFmtId="0" fontId="74" fillId="10" borderId="1" xfId="0" applyFont="1" applyFill="1" applyBorder="1" applyAlignment="1">
      <alignment wrapText="1"/>
    </xf>
    <xf numFmtId="0" fontId="4" fillId="18" borderId="1" xfId="0" applyFont="1" applyFill="1" applyBorder="1"/>
    <xf numFmtId="0" fontId="11" fillId="18" borderId="1" xfId="0" applyFont="1" applyFill="1" applyBorder="1"/>
    <xf numFmtId="0" fontId="59" fillId="10" borderId="1" xfId="0" applyFont="1" applyFill="1" applyBorder="1" applyAlignment="1">
      <alignment wrapText="1"/>
    </xf>
    <xf numFmtId="0" fontId="59" fillId="0" borderId="1" xfId="0" applyFont="1" applyBorder="1" applyAlignment="1">
      <alignment wrapText="1"/>
    </xf>
    <xf numFmtId="20" fontId="5" fillId="10" borderId="1" xfId="0" applyNumberFormat="1" applyFont="1" applyFill="1" applyBorder="1" applyAlignment="1">
      <alignment wrapText="1"/>
    </xf>
    <xf numFmtId="0" fontId="12" fillId="10" borderId="1" xfId="0" applyFont="1" applyFill="1" applyBorder="1" applyAlignment="1">
      <alignment wrapText="1"/>
    </xf>
    <xf numFmtId="0" fontId="2" fillId="0" borderId="0" xfId="0" applyFont="1"/>
    <xf numFmtId="20" fontId="6" fillId="18" borderId="1" xfId="0" applyNumberFormat="1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6" fillId="11" borderId="2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8" fillId="10" borderId="1" xfId="0" applyFont="1" applyFill="1" applyBorder="1" applyAlignment="1">
      <alignment wrapText="1"/>
    </xf>
    <xf numFmtId="0" fontId="8" fillId="10" borderId="1" xfId="0" applyFont="1" applyFill="1" applyBorder="1" applyAlignment="1">
      <alignment wrapText="1"/>
    </xf>
    <xf numFmtId="0" fontId="18" fillId="19" borderId="1" xfId="0" applyFont="1" applyFill="1" applyBorder="1" applyAlignment="1">
      <alignment wrapText="1"/>
    </xf>
    <xf numFmtId="0" fontId="8" fillId="0" borderId="0" xfId="0" applyFont="1"/>
    <xf numFmtId="16" fontId="60" fillId="10" borderId="1" xfId="0" applyNumberFormat="1" applyFont="1" applyFill="1" applyBorder="1" applyAlignment="1">
      <alignment wrapText="1"/>
    </xf>
    <xf numFmtId="0" fontId="54" fillId="11" borderId="1" xfId="0" applyFont="1" applyFill="1" applyBorder="1" applyAlignment="1">
      <alignment wrapText="1"/>
    </xf>
    <xf numFmtId="0" fontId="0" fillId="0" borderId="1" xfId="0" applyBorder="1"/>
    <xf numFmtId="0" fontId="59" fillId="11" borderId="1" xfId="0" applyFont="1" applyFill="1" applyBorder="1" applyAlignment="1">
      <alignment wrapText="1"/>
    </xf>
    <xf numFmtId="0" fontId="33" fillId="2" borderId="1" xfId="0" applyFont="1" applyFill="1" applyBorder="1" applyAlignment="1">
      <alignment vertical="top" wrapText="1"/>
    </xf>
    <xf numFmtId="0" fontId="48" fillId="2" borderId="1" xfId="0" applyFon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54" fillId="9" borderId="1" xfId="0" applyFont="1" applyFill="1" applyBorder="1" applyAlignment="1">
      <alignment wrapText="1"/>
    </xf>
    <xf numFmtId="0" fontId="54" fillId="23" borderId="1" xfId="0" applyFont="1" applyFill="1" applyBorder="1" applyAlignment="1">
      <alignment wrapText="1"/>
    </xf>
    <xf numFmtId="20" fontId="4" fillId="10" borderId="1" xfId="0" applyNumberFormat="1" applyFont="1" applyFill="1" applyBorder="1" applyAlignment="1">
      <alignment wrapText="1"/>
    </xf>
    <xf numFmtId="0" fontId="6" fillId="2" borderId="0" xfId="0" applyFont="1" applyFill="1"/>
    <xf numFmtId="0" fontId="71" fillId="9" borderId="1" xfId="0" applyFont="1" applyFill="1" applyBorder="1" applyAlignment="1">
      <alignment wrapText="1"/>
    </xf>
    <xf numFmtId="0" fontId="71" fillId="23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left"/>
    </xf>
    <xf numFmtId="0" fontId="0" fillId="11" borderId="1" xfId="0" applyFill="1" applyBorder="1" applyAlignment="1">
      <alignment wrapText="1"/>
    </xf>
    <xf numFmtId="0" fontId="25" fillId="10" borderId="1" xfId="0" applyFont="1" applyFill="1" applyBorder="1" applyAlignment="1">
      <alignment wrapText="1"/>
    </xf>
    <xf numFmtId="0" fontId="65" fillId="0" borderId="0" xfId="0" applyFont="1" applyAlignment="1">
      <alignment wrapText="1"/>
    </xf>
    <xf numFmtId="0" fontId="3" fillId="11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65" fillId="2" borderId="1" xfId="0" applyFont="1" applyFill="1" applyBorder="1" applyAlignment="1">
      <alignment vertical="top" wrapText="1"/>
    </xf>
    <xf numFmtId="0" fontId="21" fillId="9" borderId="1" xfId="0" applyFont="1" applyFill="1" applyBorder="1"/>
    <xf numFmtId="0" fontId="65" fillId="2" borderId="0" xfId="0" applyFont="1" applyFill="1" applyAlignment="1">
      <alignment wrapText="1"/>
    </xf>
    <xf numFmtId="0" fontId="2" fillId="11" borderId="1" xfId="0" applyFont="1" applyFill="1" applyBorder="1" applyAlignment="1">
      <alignment wrapText="1"/>
    </xf>
    <xf numFmtId="0" fontId="3" fillId="20" borderId="1" xfId="0" applyFont="1" applyFill="1" applyBorder="1" applyAlignment="1">
      <alignment horizontal="center" wrapText="1"/>
    </xf>
    <xf numFmtId="0" fontId="4" fillId="10" borderId="9" xfId="0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0" fontId="4" fillId="10" borderId="7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6" fillId="10" borderId="5" xfId="0" applyFont="1" applyFill="1" applyBorder="1" applyAlignment="1">
      <alignment wrapText="1"/>
    </xf>
    <xf numFmtId="0" fontId="5" fillId="10" borderId="5" xfId="0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79" fillId="2" borderId="1" xfId="0" applyFont="1" applyFill="1" applyBorder="1" applyAlignment="1">
      <alignment vertical="top" wrapText="1"/>
    </xf>
    <xf numFmtId="0" fontId="71" fillId="11" borderId="1" xfId="0" applyFont="1" applyFill="1" applyBorder="1" applyAlignment="1">
      <alignment wrapText="1"/>
    </xf>
    <xf numFmtId="0" fontId="80" fillId="9" borderId="1" xfId="0" applyFont="1" applyFill="1" applyBorder="1" applyAlignment="1">
      <alignment wrapText="1"/>
    </xf>
    <xf numFmtId="0" fontId="81" fillId="2" borderId="23" xfId="1" applyFont="1" applyFill="1" applyBorder="1" applyAlignment="1">
      <alignment vertical="top" wrapText="1" indent="1"/>
    </xf>
    <xf numFmtId="0" fontId="19" fillId="2" borderId="0" xfId="0" applyFont="1" applyFill="1" applyAlignment="1">
      <alignment wrapText="1"/>
    </xf>
    <xf numFmtId="0" fontId="71" fillId="11" borderId="3" xfId="0" applyFont="1" applyFill="1" applyBorder="1" applyAlignment="1">
      <alignment wrapText="1"/>
    </xf>
    <xf numFmtId="0" fontId="55" fillId="2" borderId="0" xfId="0" applyFont="1" applyFill="1" applyAlignment="1">
      <alignment wrapText="1"/>
    </xf>
    <xf numFmtId="0" fontId="21" fillId="10" borderId="1" xfId="0" applyFont="1" applyFill="1" applyBorder="1" applyAlignment="1">
      <alignment wrapText="1"/>
    </xf>
    <xf numFmtId="0" fontId="5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5" fillId="10" borderId="1" xfId="0" applyFont="1" applyFill="1" applyBorder="1"/>
    <xf numFmtId="16" fontId="0" fillId="10" borderId="1" xfId="0" applyNumberFormat="1" applyFill="1" applyBorder="1" applyAlignment="1">
      <alignment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6" fillId="21" borderId="1" xfId="0" applyFont="1" applyFill="1" applyBorder="1" applyAlignment="1">
      <alignment wrapText="1"/>
    </xf>
    <xf numFmtId="0" fontId="5" fillId="21" borderId="1" xfId="0" applyFont="1" applyFill="1" applyBorder="1" applyAlignment="1">
      <alignment wrapText="1"/>
    </xf>
    <xf numFmtId="0" fontId="50" fillId="14" borderId="0" xfId="0" applyFont="1" applyFill="1"/>
    <xf numFmtId="0" fontId="0" fillId="14" borderId="0" xfId="0" applyFill="1"/>
    <xf numFmtId="0" fontId="5" fillId="0" borderId="1" xfId="0" applyFont="1" applyBorder="1" applyAlignment="1">
      <alignment wrapText="1"/>
    </xf>
    <xf numFmtId="0" fontId="3" fillId="24" borderId="1" xfId="0" applyFont="1" applyFill="1" applyBorder="1"/>
    <xf numFmtId="0" fontId="3" fillId="22" borderId="1" xfId="0" applyFont="1" applyFill="1" applyBorder="1" applyAlignment="1">
      <alignment horizontal="left" vertical="top" wrapText="1"/>
    </xf>
    <xf numFmtId="0" fontId="3" fillId="2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1" fillId="24" borderId="1" xfId="0" applyFont="1" applyFill="1" applyBorder="1" applyAlignment="1">
      <alignment wrapText="1"/>
    </xf>
    <xf numFmtId="0" fontId="3" fillId="18" borderId="1" xfId="0" applyFont="1" applyFill="1" applyBorder="1"/>
    <xf numFmtId="0" fontId="7" fillId="2" borderId="1" xfId="0" applyFont="1" applyFill="1" applyBorder="1" applyAlignment="1">
      <alignment vertical="top" wrapText="1"/>
    </xf>
    <xf numFmtId="0" fontId="82" fillId="2" borderId="23" xfId="1" applyFont="1" applyFill="1" applyBorder="1" applyAlignment="1">
      <alignment vertical="top" wrapText="1" indent="1"/>
    </xf>
    <xf numFmtId="0" fontId="4" fillId="21" borderId="1" xfId="0" applyFont="1" applyFill="1" applyBorder="1" applyAlignment="1">
      <alignment wrapText="1"/>
    </xf>
    <xf numFmtId="0" fontId="29" fillId="2" borderId="0" xfId="0" applyFont="1" applyFill="1" applyAlignment="1">
      <alignment wrapText="1"/>
    </xf>
    <xf numFmtId="0" fontId="83" fillId="22" borderId="1" xfId="0" applyFont="1" applyFill="1" applyBorder="1" applyAlignment="1">
      <alignment wrapText="1"/>
    </xf>
    <xf numFmtId="0" fontId="8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4" fillId="25" borderId="1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0" fontId="85" fillId="22" borderId="1" xfId="0" applyFont="1" applyFill="1" applyBorder="1" applyAlignment="1">
      <alignment horizontal="left" vertical="top" wrapText="1"/>
    </xf>
    <xf numFmtId="0" fontId="4" fillId="10" borderId="1" xfId="0" applyFont="1" applyFill="1" applyBorder="1"/>
    <xf numFmtId="0" fontId="7" fillId="21" borderId="1" xfId="0" applyFont="1" applyFill="1" applyBorder="1" applyAlignment="1">
      <alignment wrapText="1"/>
    </xf>
    <xf numFmtId="0" fontId="11" fillId="24" borderId="1" xfId="0" applyFont="1" applyFill="1" applyBorder="1"/>
    <xf numFmtId="0" fontId="7" fillId="10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164" fontId="3" fillId="8" borderId="7" xfId="2" applyFont="1" applyFill="1" applyBorder="1"/>
    <xf numFmtId="0" fontId="7" fillId="24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0" borderId="1" xfId="0" applyFont="1" applyFill="1" applyBorder="1" applyAlignment="1">
      <alignment wrapText="1"/>
    </xf>
    <xf numFmtId="0" fontId="5" fillId="2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6" borderId="1" xfId="0" applyFont="1" applyFill="1" applyBorder="1" applyAlignment="1">
      <alignment wrapText="1"/>
    </xf>
    <xf numFmtId="0" fontId="4" fillId="2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1" fillId="10" borderId="1" xfId="0" applyFont="1" applyFill="1" applyBorder="1" applyAlignment="1">
      <alignment horizontal="left" vertical="top" wrapText="1"/>
    </xf>
    <xf numFmtId="0" fontId="11" fillId="19" borderId="1" xfId="0" applyFont="1" applyFill="1" applyBorder="1" applyAlignment="1">
      <alignment wrapText="1"/>
    </xf>
    <xf numFmtId="0" fontId="3" fillId="2" borderId="30" xfId="0" applyFont="1" applyFill="1" applyBorder="1"/>
    <xf numFmtId="0" fontId="3" fillId="2" borderId="28" xfId="0" applyFont="1" applyFill="1" applyBorder="1"/>
    <xf numFmtId="0" fontId="3" fillId="2" borderId="31" xfId="0" applyFont="1" applyFill="1" applyBorder="1"/>
    <xf numFmtId="0" fontId="3" fillId="2" borderId="32" xfId="0" applyFont="1" applyFill="1" applyBorder="1"/>
    <xf numFmtId="0" fontId="5" fillId="2" borderId="0" xfId="0" applyFont="1" applyFill="1"/>
    <xf numFmtId="0" fontId="3" fillId="2" borderId="33" xfId="0" applyFont="1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36" xfId="0" applyFill="1" applyBorder="1"/>
    <xf numFmtId="0" fontId="53" fillId="2" borderId="1" xfId="0" applyFont="1" applyFill="1" applyBorder="1" applyAlignment="1">
      <alignment vertical="top" wrapText="1"/>
    </xf>
    <xf numFmtId="0" fontId="2" fillId="21" borderId="1" xfId="0" applyFont="1" applyFill="1" applyBorder="1" applyAlignment="1">
      <alignment wrapText="1"/>
    </xf>
    <xf numFmtId="0" fontId="2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8" fillId="10" borderId="3" xfId="0" applyFont="1" applyFill="1" applyBorder="1" applyAlignment="1">
      <alignment wrapText="1"/>
    </xf>
    <xf numFmtId="0" fontId="0" fillId="0" borderId="9" xfId="0" applyBorder="1"/>
    <xf numFmtId="0" fontId="26" fillId="20" borderId="1" xfId="0" applyFont="1" applyFill="1" applyBorder="1" applyAlignment="1">
      <alignment wrapText="1"/>
    </xf>
    <xf numFmtId="0" fontId="90" fillId="26" borderId="1" xfId="0" applyFont="1" applyFill="1" applyBorder="1" applyAlignment="1">
      <alignment wrapText="1"/>
    </xf>
    <xf numFmtId="0" fontId="5" fillId="24" borderId="1" xfId="0" applyFont="1" applyFill="1" applyBorder="1" applyAlignment="1">
      <alignment wrapText="1"/>
    </xf>
    <xf numFmtId="0" fontId="92" fillId="22" borderId="1" xfId="0" applyFont="1" applyFill="1" applyBorder="1" applyAlignment="1">
      <alignment horizontal="left" vertical="top" wrapText="1"/>
    </xf>
    <xf numFmtId="0" fontId="7" fillId="24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wrapText="1"/>
    </xf>
    <xf numFmtId="0" fontId="90" fillId="6" borderId="1" xfId="0" applyFont="1" applyFill="1" applyBorder="1" applyAlignment="1">
      <alignment wrapText="1"/>
    </xf>
    <xf numFmtId="16" fontId="4" fillId="0" borderId="1" xfId="0" applyNumberFormat="1" applyFont="1" applyBorder="1" applyAlignment="1">
      <alignment wrapText="1"/>
    </xf>
    <xf numFmtId="0" fontId="4" fillId="23" borderId="1" xfId="0" applyFont="1" applyFill="1" applyBorder="1" applyAlignment="1">
      <alignment wrapText="1"/>
    </xf>
    <xf numFmtId="16" fontId="4" fillId="3" borderId="1" xfId="0" applyNumberFormat="1" applyFont="1" applyFill="1" applyBorder="1" applyAlignment="1">
      <alignment wrapText="1"/>
    </xf>
    <xf numFmtId="0" fontId="4" fillId="6" borderId="1" xfId="0" applyFont="1" applyFill="1" applyBorder="1" applyAlignment="1">
      <alignment horizontal="left" vertical="top" wrapText="1"/>
    </xf>
    <xf numFmtId="20" fontId="5" fillId="6" borderId="1" xfId="0" applyNumberFormat="1" applyFont="1" applyFill="1" applyBorder="1" applyAlignment="1">
      <alignment wrapText="1"/>
    </xf>
    <xf numFmtId="0" fontId="50" fillId="6" borderId="1" xfId="0" applyFont="1" applyFill="1" applyBorder="1"/>
    <xf numFmtId="0" fontId="4" fillId="27" borderId="1" xfId="0" applyFont="1" applyFill="1" applyBorder="1" applyAlignment="1">
      <alignment wrapText="1"/>
    </xf>
    <xf numFmtId="0" fontId="11" fillId="2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wrapText="1"/>
    </xf>
    <xf numFmtId="0" fontId="11" fillId="20" borderId="1" xfId="0" applyFont="1" applyFill="1" applyBorder="1" applyAlignment="1">
      <alignment wrapText="1"/>
    </xf>
    <xf numFmtId="0" fontId="3" fillId="28" borderId="1" xfId="0" applyFont="1" applyFill="1" applyBorder="1"/>
    <xf numFmtId="0" fontId="5" fillId="29" borderId="1" xfId="0" applyFont="1" applyFill="1" applyBorder="1" applyAlignment="1">
      <alignment wrapText="1"/>
    </xf>
    <xf numFmtId="0" fontId="4" fillId="29" borderId="1" xfId="0" applyFont="1" applyFill="1" applyBorder="1" applyAlignment="1">
      <alignment horizontal="left" vertical="top" wrapText="1"/>
    </xf>
    <xf numFmtId="0" fontId="50" fillId="29" borderId="1" xfId="0" applyFont="1" applyFill="1" applyBorder="1"/>
    <xf numFmtId="0" fontId="3" fillId="24" borderId="1" xfId="0" applyFont="1" applyFill="1" applyBorder="1" applyAlignment="1">
      <alignment horizontal="left" vertical="top" wrapText="1"/>
    </xf>
    <xf numFmtId="0" fontId="3" fillId="0" borderId="7" xfId="0" applyFont="1" applyBorder="1"/>
    <xf numFmtId="0" fontId="95" fillId="0" borderId="1" xfId="0" applyFont="1" applyBorder="1" applyAlignment="1">
      <alignment wrapText="1"/>
    </xf>
    <xf numFmtId="0" fontId="96" fillId="2" borderId="1" xfId="0" applyFont="1" applyFill="1" applyBorder="1" applyAlignment="1">
      <alignment vertical="top" wrapText="1"/>
    </xf>
    <xf numFmtId="0" fontId="97" fillId="2" borderId="1" xfId="0" applyFont="1" applyFill="1" applyBorder="1" applyAlignment="1">
      <alignment vertical="top" wrapText="1"/>
    </xf>
    <xf numFmtId="0" fontId="6" fillId="0" borderId="2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0" fillId="10" borderId="5" xfId="0" applyFill="1" applyBorder="1" applyAlignment="1">
      <alignment wrapText="1"/>
    </xf>
    <xf numFmtId="0" fontId="4" fillId="19" borderId="3" xfId="0" applyFont="1" applyFill="1" applyBorder="1" applyAlignment="1">
      <alignment wrapText="1"/>
    </xf>
    <xf numFmtId="0" fontId="11" fillId="10" borderId="37" xfId="0" applyFont="1" applyFill="1" applyBorder="1" applyAlignment="1">
      <alignment wrapText="1"/>
    </xf>
    <xf numFmtId="0" fontId="6" fillId="10" borderId="38" xfId="0" applyFont="1" applyFill="1" applyBorder="1" applyAlignment="1">
      <alignment wrapText="1"/>
    </xf>
    <xf numFmtId="0" fontId="6" fillId="21" borderId="3" xfId="0" applyFont="1" applyFill="1" applyBorder="1" applyAlignment="1">
      <alignment wrapText="1"/>
    </xf>
    <xf numFmtId="0" fontId="11" fillId="10" borderId="39" xfId="0" applyFont="1" applyFill="1" applyBorder="1" applyAlignment="1">
      <alignment wrapText="1"/>
    </xf>
    <xf numFmtId="0" fontId="6" fillId="21" borderId="40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38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10" borderId="41" xfId="0" applyFont="1" applyFill="1" applyBorder="1" applyAlignment="1">
      <alignment wrapText="1"/>
    </xf>
    <xf numFmtId="0" fontId="12" fillId="0" borderId="41" xfId="0" applyFont="1" applyBorder="1" applyAlignment="1">
      <alignment wrapText="1"/>
    </xf>
    <xf numFmtId="0" fontId="11" fillId="21" borderId="40" xfId="0" applyFont="1" applyFill="1" applyBorder="1" applyAlignment="1">
      <alignment wrapText="1"/>
    </xf>
    <xf numFmtId="0" fontId="11" fillId="10" borderId="41" xfId="0" applyFont="1" applyFill="1" applyBorder="1" applyAlignment="1">
      <alignment wrapText="1"/>
    </xf>
    <xf numFmtId="0" fontId="5" fillId="29" borderId="7" xfId="0" applyFont="1" applyFill="1" applyBorder="1" applyAlignment="1">
      <alignment wrapText="1"/>
    </xf>
    <xf numFmtId="0" fontId="11" fillId="0" borderId="40" xfId="0" applyFont="1" applyBorder="1" applyAlignment="1">
      <alignment wrapText="1"/>
    </xf>
    <xf numFmtId="0" fontId="0" fillId="10" borderId="6" xfId="0" applyFill="1" applyBorder="1" applyAlignment="1">
      <alignment wrapText="1"/>
    </xf>
    <xf numFmtId="0" fontId="7" fillId="21" borderId="7" xfId="0" applyFont="1" applyFill="1" applyBorder="1" applyAlignment="1">
      <alignment horizontal="left" vertical="top" wrapText="1"/>
    </xf>
    <xf numFmtId="0" fontId="3" fillId="28" borderId="3" xfId="0" applyFont="1" applyFill="1" applyBorder="1"/>
    <xf numFmtId="0" fontId="11" fillId="10" borderId="40" xfId="0" applyFont="1" applyFill="1" applyBorder="1" applyAlignment="1">
      <alignment horizontal="left" vertical="top" wrapText="1"/>
    </xf>
    <xf numFmtId="0" fontId="0" fillId="10" borderId="38" xfId="0" applyFill="1" applyBorder="1" applyAlignment="1">
      <alignment wrapText="1"/>
    </xf>
    <xf numFmtId="0" fontId="7" fillId="10" borderId="7" xfId="0" applyFont="1" applyFill="1" applyBorder="1" applyAlignment="1">
      <alignment wrapText="1"/>
    </xf>
    <xf numFmtId="0" fontId="11" fillId="19" borderId="40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1" fillId="19" borderId="5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10" borderId="7" xfId="0" applyFont="1" applyFill="1" applyBorder="1" applyAlignment="1">
      <alignment wrapText="1"/>
    </xf>
    <xf numFmtId="0" fontId="11" fillId="10" borderId="40" xfId="0" applyFont="1" applyFill="1" applyBorder="1" applyAlignment="1">
      <alignment horizontal="left" wrapText="1"/>
    </xf>
    <xf numFmtId="0" fontId="2" fillId="21" borderId="3" xfId="0" applyFont="1" applyFill="1" applyBorder="1" applyAlignment="1">
      <alignment wrapText="1"/>
    </xf>
    <xf numFmtId="0" fontId="2" fillId="10" borderId="41" xfId="0" applyFont="1" applyFill="1" applyBorder="1" applyAlignment="1">
      <alignment wrapText="1"/>
    </xf>
    <xf numFmtId="0" fontId="11" fillId="29" borderId="40" xfId="0" applyFont="1" applyFill="1" applyBorder="1" applyAlignment="1">
      <alignment wrapText="1"/>
    </xf>
    <xf numFmtId="0" fontId="5" fillId="10" borderId="40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10" borderId="40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wrapText="1"/>
    </xf>
    <xf numFmtId="0" fontId="5" fillId="10" borderId="4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20" borderId="40" xfId="0" applyFont="1" applyFill="1" applyBorder="1" applyAlignment="1">
      <alignment wrapText="1"/>
    </xf>
    <xf numFmtId="0" fontId="11" fillId="19" borderId="3" xfId="0" applyFont="1" applyFill="1" applyBorder="1" applyAlignment="1">
      <alignment wrapText="1"/>
    </xf>
    <xf numFmtId="0" fontId="6" fillId="21" borderId="42" xfId="0" applyFont="1" applyFill="1" applyBorder="1" applyAlignment="1">
      <alignment wrapText="1"/>
    </xf>
    <xf numFmtId="0" fontId="11" fillId="21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29" borderId="1" xfId="0" applyFont="1" applyFill="1" applyBorder="1" applyAlignment="1">
      <alignment horizontal="left" vertical="top" wrapText="1"/>
    </xf>
    <xf numFmtId="0" fontId="5" fillId="30" borderId="1" xfId="0" applyFont="1" applyFill="1" applyBorder="1" applyAlignment="1">
      <alignment wrapText="1"/>
    </xf>
    <xf numFmtId="0" fontId="11" fillId="11" borderId="1" xfId="0" applyFont="1" applyFill="1" applyBorder="1" applyAlignment="1">
      <alignment wrapText="1"/>
    </xf>
    <xf numFmtId="0" fontId="7" fillId="29" borderId="1" xfId="0" applyFont="1" applyFill="1" applyBorder="1" applyAlignment="1">
      <alignment wrapText="1"/>
    </xf>
    <xf numFmtId="0" fontId="7" fillId="30" borderId="1" xfId="0" applyFont="1" applyFill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3">
    <cellStyle name="Banded" xfId="1" xr:uid="{088E64BB-6158-4C96-8278-40E8B9986835}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C1E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7F86-6844-41BD-8337-1626DF397E07}">
  <dimension ref="A1:V38"/>
  <sheetViews>
    <sheetView tabSelected="1" topLeftCell="A6" zoomScaleNormal="100" workbookViewId="0">
      <selection activeCell="B21" sqref="B21:C21"/>
    </sheetView>
  </sheetViews>
  <sheetFormatPr defaultRowHeight="14.45"/>
  <cols>
    <col min="1" max="1" width="26.28515625" customWidth="1"/>
    <col min="2" max="2" width="17.42578125" customWidth="1"/>
    <col min="3" max="3" width="6.7109375" bestFit="1" customWidth="1"/>
    <col min="4" max="4" width="20" customWidth="1"/>
    <col min="5" max="5" width="6.710937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21.710937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710937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46188</v>
      </c>
      <c r="C2" s="6"/>
      <c r="D2" s="5">
        <v>46189</v>
      </c>
      <c r="E2" s="6"/>
      <c r="F2" s="5">
        <v>46190</v>
      </c>
      <c r="G2" s="6"/>
      <c r="H2" s="5">
        <v>46191</v>
      </c>
      <c r="I2" s="6"/>
      <c r="J2" s="5">
        <v>46192</v>
      </c>
      <c r="K2" s="6"/>
      <c r="L2" s="5">
        <v>46193</v>
      </c>
      <c r="M2" s="6"/>
      <c r="N2" s="5">
        <v>46194</v>
      </c>
      <c r="O2" s="7"/>
      <c r="P2" s="3"/>
    </row>
    <row r="3" spans="1:22" ht="96.6" customHeight="1">
      <c r="A3" s="8" t="s">
        <v>9</v>
      </c>
      <c r="B3" s="62" t="s">
        <v>10</v>
      </c>
      <c r="C3" s="10"/>
      <c r="D3" s="62" t="s">
        <v>11</v>
      </c>
      <c r="E3" s="10"/>
      <c r="F3" s="62"/>
      <c r="G3" s="11"/>
      <c r="H3" s="62" t="s">
        <v>12</v>
      </c>
      <c r="I3" s="10"/>
      <c r="J3" s="62" t="s">
        <v>13</v>
      </c>
      <c r="K3" s="10"/>
      <c r="L3" s="62"/>
      <c r="M3" s="13"/>
      <c r="N3" s="62"/>
      <c r="O3" s="15"/>
      <c r="P3" s="3"/>
    </row>
    <row r="4" spans="1:22">
      <c r="A4" s="82" t="s">
        <v>14</v>
      </c>
      <c r="B4" s="18" t="s">
        <v>15</v>
      </c>
      <c r="C4" s="18">
        <v>8</v>
      </c>
      <c r="D4" s="18" t="s">
        <v>15</v>
      </c>
      <c r="E4" s="18">
        <v>8</v>
      </c>
      <c r="F4" s="18" t="s">
        <v>16</v>
      </c>
      <c r="G4" s="18">
        <v>8</v>
      </c>
      <c r="H4" s="18" t="s">
        <v>16</v>
      </c>
      <c r="I4" s="18">
        <v>8</v>
      </c>
      <c r="J4" s="18" t="s">
        <v>16</v>
      </c>
      <c r="K4" s="18">
        <v>8</v>
      </c>
      <c r="L4" s="289"/>
      <c r="M4" s="18"/>
      <c r="N4" s="18" t="s">
        <v>17</v>
      </c>
      <c r="O4" s="18"/>
      <c r="P4" s="3">
        <f t="shared" ref="P4:P20" si="0">SUM(O4,M4,K4,I4,G4,E4,C4)</f>
        <v>40</v>
      </c>
    </row>
    <row r="5" spans="1:22">
      <c r="A5" s="45" t="s">
        <v>18</v>
      </c>
      <c r="B5" s="18" t="s">
        <v>19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15</v>
      </c>
      <c r="I5" s="18">
        <v>8</v>
      </c>
      <c r="J5" s="18" t="s">
        <v>16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81" customHeight="1">
      <c r="A6" s="350" t="s">
        <v>20</v>
      </c>
      <c r="B6" s="45" t="s">
        <v>21</v>
      </c>
      <c r="C6" s="48">
        <v>7.5</v>
      </c>
      <c r="D6" s="45" t="s">
        <v>22</v>
      </c>
      <c r="E6" s="48">
        <v>7.5</v>
      </c>
      <c r="F6" s="45"/>
      <c r="G6" s="48"/>
      <c r="H6" s="45" t="s">
        <v>23</v>
      </c>
      <c r="I6" s="48">
        <v>7.5</v>
      </c>
      <c r="J6" s="45" t="s">
        <v>24</v>
      </c>
      <c r="K6" s="48">
        <v>7.5</v>
      </c>
      <c r="L6" s="301"/>
      <c r="M6" s="48"/>
      <c r="N6" s="18" t="s">
        <v>17</v>
      </c>
      <c r="O6" s="18"/>
      <c r="P6" s="3">
        <f t="shared" si="0"/>
        <v>30</v>
      </c>
    </row>
    <row r="7" spans="1:22" ht="63" customHeight="1">
      <c r="A7" s="163" t="s">
        <v>25</v>
      </c>
      <c r="B7" s="329" t="s">
        <v>26</v>
      </c>
      <c r="C7" s="314"/>
      <c r="D7" s="424" t="s">
        <v>27</v>
      </c>
      <c r="E7" s="314">
        <v>6.5</v>
      </c>
      <c r="F7" s="325"/>
      <c r="G7" s="314"/>
      <c r="H7" s="157" t="s">
        <v>28</v>
      </c>
      <c r="I7" s="314">
        <v>6.5</v>
      </c>
      <c r="J7" s="298" t="s">
        <v>29</v>
      </c>
      <c r="K7" s="314">
        <v>6.5</v>
      </c>
      <c r="L7" s="373" t="s">
        <v>30</v>
      </c>
      <c r="M7" s="314">
        <v>4.5</v>
      </c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 ht="28.9">
      <c r="A8" s="163" t="s">
        <v>34</v>
      </c>
      <c r="B8" s="56" t="s">
        <v>35</v>
      </c>
      <c r="C8" s="314">
        <v>7.75</v>
      </c>
      <c r="D8" s="56" t="s">
        <v>36</v>
      </c>
      <c r="E8" s="314">
        <v>1.5</v>
      </c>
      <c r="F8" s="297" t="s">
        <v>37</v>
      </c>
      <c r="G8" s="314">
        <v>6.75</v>
      </c>
      <c r="H8" s="56" t="s">
        <v>38</v>
      </c>
      <c r="I8" s="314">
        <v>8</v>
      </c>
      <c r="J8" s="56"/>
      <c r="K8" s="314"/>
      <c r="L8" s="69"/>
      <c r="M8" s="47"/>
      <c r="N8" s="18" t="s">
        <v>17</v>
      </c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2" ht="28.9">
      <c r="A9" s="45" t="s">
        <v>40</v>
      </c>
      <c r="B9" s="314" t="s">
        <v>41</v>
      </c>
      <c r="C9" s="314">
        <v>4</v>
      </c>
      <c r="D9" s="101" t="s">
        <v>42</v>
      </c>
      <c r="E9" s="314">
        <v>6</v>
      </c>
      <c r="F9" s="310"/>
      <c r="G9" s="314"/>
      <c r="H9" s="132" t="s">
        <v>43</v>
      </c>
      <c r="I9" s="314">
        <v>5</v>
      </c>
      <c r="J9" s="348" t="s">
        <v>44</v>
      </c>
      <c r="K9" s="314">
        <v>5</v>
      </c>
      <c r="L9" s="69"/>
      <c r="M9" s="48"/>
      <c r="N9" s="18" t="s">
        <v>17</v>
      </c>
      <c r="O9" s="18"/>
      <c r="P9" s="3">
        <f t="shared" si="0"/>
        <v>20</v>
      </c>
      <c r="R9" s="121"/>
      <c r="S9" s="121"/>
      <c r="T9" s="260"/>
      <c r="U9" s="121" t="s">
        <v>45</v>
      </c>
    </row>
    <row r="10" spans="1:22" ht="28.9">
      <c r="A10" s="163" t="s">
        <v>46</v>
      </c>
      <c r="B10" s="373" t="s">
        <v>47</v>
      </c>
      <c r="C10" s="314">
        <v>4</v>
      </c>
      <c r="D10" s="373" t="s">
        <v>48</v>
      </c>
      <c r="E10" s="314">
        <v>4.5</v>
      </c>
      <c r="F10" s="301" t="s">
        <v>30</v>
      </c>
      <c r="G10" s="314">
        <v>4.5</v>
      </c>
      <c r="H10" s="48"/>
      <c r="I10" s="314"/>
      <c r="J10" s="373" t="s">
        <v>30</v>
      </c>
      <c r="K10" s="314">
        <v>4.5</v>
      </c>
      <c r="L10" s="329" t="s">
        <v>49</v>
      </c>
      <c r="M10" s="314">
        <v>6.5</v>
      </c>
      <c r="N10" s="18" t="s">
        <v>17</v>
      </c>
      <c r="O10" s="18"/>
      <c r="P10" s="3">
        <f t="shared" si="0"/>
        <v>24</v>
      </c>
      <c r="R10" s="121"/>
      <c r="S10" s="121"/>
      <c r="T10" s="121"/>
      <c r="U10" s="121" t="s">
        <v>50</v>
      </c>
    </row>
    <row r="11" spans="1:22" ht="28.9" customHeight="1">
      <c r="A11" s="60" t="s">
        <v>51</v>
      </c>
      <c r="B11" s="60" t="s">
        <v>52</v>
      </c>
      <c r="C11" s="48">
        <v>7.5</v>
      </c>
      <c r="D11" s="133" t="s">
        <v>53</v>
      </c>
      <c r="E11" s="314">
        <v>4</v>
      </c>
      <c r="F11" s="329"/>
      <c r="G11" s="314"/>
      <c r="H11" s="301" t="s">
        <v>26</v>
      </c>
      <c r="I11" s="314"/>
      <c r="J11" s="158"/>
      <c r="K11" s="314"/>
      <c r="L11" s="301" t="s">
        <v>54</v>
      </c>
      <c r="M11" s="314">
        <v>7.5</v>
      </c>
      <c r="N11" s="18" t="s">
        <v>17</v>
      </c>
      <c r="O11" s="18"/>
      <c r="P11" s="3">
        <f t="shared" si="0"/>
        <v>19</v>
      </c>
      <c r="R11" s="121"/>
      <c r="S11" s="121"/>
      <c r="T11" s="121"/>
      <c r="U11" s="121" t="s">
        <v>55</v>
      </c>
    </row>
    <row r="12" spans="1:22">
      <c r="A12" s="163" t="s">
        <v>56</v>
      </c>
      <c r="B12" s="427"/>
      <c r="C12" s="48"/>
      <c r="D12" s="273"/>
      <c r="E12" s="314"/>
      <c r="F12" s="60" t="s">
        <v>52</v>
      </c>
      <c r="G12" s="48">
        <v>7.5</v>
      </c>
      <c r="H12" s="213" t="s">
        <v>57</v>
      </c>
      <c r="I12" s="314">
        <v>4</v>
      </c>
      <c r="J12" s="347"/>
      <c r="K12" s="314"/>
      <c r="L12" s="48"/>
      <c r="M12" s="314"/>
      <c r="N12" s="18" t="s">
        <v>17</v>
      </c>
      <c r="O12" s="18"/>
      <c r="P12" s="3">
        <f t="shared" si="0"/>
        <v>11.5</v>
      </c>
      <c r="R12" s="121"/>
      <c r="S12" s="121"/>
      <c r="T12" s="121"/>
      <c r="U12" s="121" t="s">
        <v>58</v>
      </c>
    </row>
    <row r="13" spans="1:22" ht="58.9" customHeight="1">
      <c r="A13" s="60" t="s">
        <v>59</v>
      </c>
      <c r="B13" s="348" t="s">
        <v>60</v>
      </c>
      <c r="C13" s="314">
        <v>5</v>
      </c>
      <c r="D13" s="60" t="s">
        <v>61</v>
      </c>
      <c r="E13" s="48">
        <v>7.5</v>
      </c>
      <c r="F13" s="60"/>
      <c r="G13" s="48"/>
      <c r="H13" s="38"/>
      <c r="I13" s="314"/>
      <c r="J13" s="101" t="s">
        <v>62</v>
      </c>
      <c r="K13" s="48">
        <v>6</v>
      </c>
      <c r="L13" s="301"/>
      <c r="M13" s="314"/>
      <c r="N13" s="18" t="s">
        <v>17</v>
      </c>
      <c r="O13" s="18"/>
      <c r="P13" s="3">
        <f t="shared" si="0"/>
        <v>18.5</v>
      </c>
      <c r="R13" s="121"/>
      <c r="S13" s="121"/>
      <c r="T13" s="121"/>
      <c r="U13" s="121"/>
    </row>
    <row r="14" spans="1:22" ht="46.5" customHeight="1">
      <c r="A14" s="60" t="s">
        <v>63</v>
      </c>
      <c r="B14" s="319" t="s">
        <v>64</v>
      </c>
      <c r="C14" s="314">
        <v>6</v>
      </c>
      <c r="D14" s="273"/>
      <c r="E14" s="314"/>
      <c r="F14" s="319" t="s">
        <v>64</v>
      </c>
      <c r="G14" s="314">
        <v>6</v>
      </c>
      <c r="H14" s="319" t="s">
        <v>64</v>
      </c>
      <c r="I14" s="314">
        <v>6</v>
      </c>
      <c r="J14" s="319"/>
      <c r="K14" s="314"/>
      <c r="L14" s="69"/>
      <c r="M14" s="48"/>
      <c r="N14" s="18" t="s">
        <v>17</v>
      </c>
      <c r="O14" s="18"/>
      <c r="P14" s="3">
        <f t="shared" si="0"/>
        <v>18</v>
      </c>
      <c r="R14" s="121"/>
      <c r="S14" s="121"/>
      <c r="T14" s="121"/>
      <c r="U14" s="121"/>
    </row>
    <row r="15" spans="1:22">
      <c r="A15" s="60" t="s">
        <v>65</v>
      </c>
      <c r="B15" s="328"/>
      <c r="C15" s="314"/>
      <c r="D15" s="347" t="s">
        <v>66</v>
      </c>
      <c r="E15" s="314">
        <v>6.5</v>
      </c>
      <c r="F15" s="158"/>
      <c r="G15" s="314"/>
      <c r="H15" s="158"/>
      <c r="I15" s="314"/>
      <c r="J15" s="158" t="s">
        <v>67</v>
      </c>
      <c r="K15" s="314">
        <v>6.5</v>
      </c>
      <c r="L15" s="310" t="s">
        <v>68</v>
      </c>
      <c r="M15" s="48">
        <v>6.5</v>
      </c>
      <c r="N15" s="18" t="s">
        <v>17</v>
      </c>
      <c r="O15" s="18"/>
      <c r="P15" s="3">
        <f t="shared" si="0"/>
        <v>19.5</v>
      </c>
      <c r="R15" s="121"/>
      <c r="S15" s="121"/>
      <c r="T15" s="121"/>
      <c r="U15" s="121"/>
    </row>
    <row r="16" spans="1:22" ht="18">
      <c r="A16" s="128" t="s">
        <v>69</v>
      </c>
      <c r="B16" s="328" t="s">
        <v>70</v>
      </c>
      <c r="C16" s="48">
        <v>4</v>
      </c>
      <c r="D16" s="50" t="s">
        <v>71</v>
      </c>
      <c r="E16" s="314">
        <v>6.5</v>
      </c>
      <c r="F16" s="48" t="s">
        <v>72</v>
      </c>
      <c r="G16" s="314">
        <v>6.5</v>
      </c>
      <c r="H16" s="48" t="s">
        <v>73</v>
      </c>
      <c r="I16" s="314">
        <v>7</v>
      </c>
      <c r="J16" s="69"/>
      <c r="K16" s="314"/>
      <c r="L16" s="69"/>
      <c r="M16" s="314"/>
      <c r="N16" s="18" t="s">
        <v>17</v>
      </c>
      <c r="O16" s="18"/>
      <c r="P16" s="3">
        <f t="shared" si="0"/>
        <v>24</v>
      </c>
      <c r="R16" s="299" t="s">
        <v>74</v>
      </c>
      <c r="S16" s="299"/>
      <c r="T16" s="299" t="s">
        <v>75</v>
      </c>
      <c r="U16" s="299"/>
      <c r="V16" s="300"/>
    </row>
    <row r="17" spans="1:22" ht="62.45" customHeight="1">
      <c r="A17" s="128" t="s">
        <v>76</v>
      </c>
      <c r="B17" s="348"/>
      <c r="C17" s="314"/>
      <c r="D17" s="131" t="s">
        <v>77</v>
      </c>
      <c r="E17" s="314">
        <v>4</v>
      </c>
      <c r="F17" s="348" t="s">
        <v>78</v>
      </c>
      <c r="G17" s="314">
        <v>5</v>
      </c>
      <c r="H17" s="314"/>
      <c r="I17" s="314"/>
      <c r="J17" s="425"/>
      <c r="K17" s="314"/>
      <c r="L17" s="349" t="s">
        <v>79</v>
      </c>
      <c r="M17" s="48">
        <v>10</v>
      </c>
      <c r="N17" s="18" t="s">
        <v>17</v>
      </c>
      <c r="O17" s="18"/>
      <c r="P17" s="3">
        <f t="shared" si="0"/>
        <v>19</v>
      </c>
      <c r="R17" s="299"/>
      <c r="S17" s="299"/>
      <c r="T17" s="299"/>
      <c r="U17" s="299"/>
      <c r="V17" s="300"/>
    </row>
    <row r="18" spans="1:22" ht="28.9">
      <c r="A18" s="163" t="s">
        <v>80</v>
      </c>
      <c r="B18" s="426" t="s">
        <v>81</v>
      </c>
      <c r="C18" s="18">
        <v>3.5</v>
      </c>
      <c r="D18" s="48" t="s">
        <v>82</v>
      </c>
      <c r="E18" s="314">
        <v>7</v>
      </c>
      <c r="F18" s="85"/>
      <c r="G18" s="18"/>
      <c r="H18" s="373" t="s">
        <v>47</v>
      </c>
      <c r="I18" s="314">
        <v>4</v>
      </c>
      <c r="J18" s="60" t="s">
        <v>83</v>
      </c>
      <c r="K18" s="48">
        <v>7.5</v>
      </c>
      <c r="L18" s="69"/>
      <c r="M18" s="48"/>
      <c r="N18" s="18" t="s">
        <v>17</v>
      </c>
      <c r="O18" s="18"/>
      <c r="P18" s="3">
        <f t="shared" si="0"/>
        <v>22</v>
      </c>
      <c r="R18" s="299"/>
      <c r="S18" s="299"/>
      <c r="T18" s="299"/>
      <c r="U18" s="299"/>
      <c r="V18" s="300"/>
    </row>
    <row r="19" spans="1:22" ht="29.45">
      <c r="A19" s="128" t="s">
        <v>84</v>
      </c>
      <c r="B19" s="301" t="s">
        <v>85</v>
      </c>
      <c r="C19" s="314">
        <v>9.5</v>
      </c>
      <c r="D19" s="424" t="s">
        <v>86</v>
      </c>
      <c r="E19" s="314">
        <v>5</v>
      </c>
      <c r="F19" s="301" t="s">
        <v>85</v>
      </c>
      <c r="G19" s="314">
        <v>9.5</v>
      </c>
      <c r="H19" s="325"/>
      <c r="I19" s="314"/>
      <c r="J19" s="424"/>
      <c r="K19" s="314"/>
      <c r="L19" s="301"/>
      <c r="M19" s="48"/>
      <c r="N19" s="18" t="s">
        <v>17</v>
      </c>
      <c r="O19" s="18"/>
      <c r="P19" s="3">
        <f t="shared" si="0"/>
        <v>24</v>
      </c>
      <c r="R19" s="299"/>
      <c r="S19" s="299"/>
      <c r="T19" s="299"/>
      <c r="U19" s="299"/>
      <c r="V19" s="300"/>
    </row>
    <row r="20" spans="1:22" ht="29.25">
      <c r="A20" s="45" t="s">
        <v>87</v>
      </c>
      <c r="B20" s="429" t="s">
        <v>88</v>
      </c>
      <c r="C20" s="18">
        <v>3</v>
      </c>
      <c r="D20" s="428"/>
      <c r="E20" s="18"/>
      <c r="F20" s="430" t="s">
        <v>89</v>
      </c>
      <c r="G20" s="18">
        <v>3</v>
      </c>
      <c r="H20" s="430" t="s">
        <v>90</v>
      </c>
      <c r="I20" s="18">
        <v>3.5</v>
      </c>
      <c r="J20" s="101" t="s">
        <v>91</v>
      </c>
      <c r="K20" s="48">
        <v>5.5</v>
      </c>
      <c r="L20" s="50" t="s">
        <v>92</v>
      </c>
      <c r="M20" s="18"/>
      <c r="N20" s="18"/>
      <c r="O20" s="18"/>
      <c r="P20" s="3">
        <f t="shared" si="0"/>
        <v>15</v>
      </c>
      <c r="R20" s="299"/>
      <c r="S20" s="299"/>
      <c r="T20" s="299"/>
      <c r="U20" s="299"/>
      <c r="V20" s="300"/>
    </row>
    <row r="21" spans="1:22" ht="18.75">
      <c r="A21" s="45" t="s">
        <v>93</v>
      </c>
      <c r="B21" s="321"/>
      <c r="C21" s="18"/>
      <c r="D21" s="101" t="s">
        <v>94</v>
      </c>
      <c r="E21" s="18">
        <v>7.5</v>
      </c>
      <c r="F21" s="50"/>
      <c r="G21" s="18"/>
      <c r="H21" s="50" t="s">
        <v>92</v>
      </c>
      <c r="I21" s="18"/>
      <c r="J21" s="101" t="s">
        <v>94</v>
      </c>
      <c r="K21" s="18">
        <v>7.5</v>
      </c>
      <c r="L21" s="50" t="s">
        <v>92</v>
      </c>
      <c r="M21" s="18"/>
      <c r="N21" s="18"/>
      <c r="O21" s="18"/>
      <c r="P21" s="3">
        <f>SUM(O21,M21,K21,I21,G21,E21,C21)</f>
        <v>15</v>
      </c>
      <c r="R21" s="299"/>
      <c r="S21" s="299"/>
      <c r="T21" s="299"/>
      <c r="U21" s="299"/>
      <c r="V21" s="300"/>
    </row>
    <row r="22" spans="1:22">
      <c r="A22" s="52" t="s">
        <v>95</v>
      </c>
      <c r="B22" s="3"/>
      <c r="C22" s="3">
        <f>SUM(C7:C21)</f>
        <v>54.25</v>
      </c>
      <c r="D22" s="3"/>
      <c r="E22" s="3">
        <f>SUM(E7:E21)</f>
        <v>66.5</v>
      </c>
      <c r="F22" s="3"/>
      <c r="G22" s="3">
        <f>SUM(G7:G21)</f>
        <v>48.75</v>
      </c>
      <c r="H22" s="3"/>
      <c r="I22" s="3">
        <f>SUM(I7:I21)</f>
        <v>44</v>
      </c>
      <c r="J22" s="3"/>
      <c r="K22" s="3">
        <f>SUM(K7:K21)</f>
        <v>49</v>
      </c>
      <c r="L22" s="3"/>
      <c r="M22" s="3">
        <f>SUM(M7:M21)</f>
        <v>35</v>
      </c>
      <c r="N22" s="3"/>
      <c r="O22" s="3">
        <f>SUM(O7:O21)</f>
        <v>0</v>
      </c>
      <c r="P22" s="3">
        <f>SUM(O22,M22,K22,I22,G22,E22,C22)</f>
        <v>297.5</v>
      </c>
      <c r="R22" s="121"/>
      <c r="S22" s="121"/>
      <c r="T22" s="121"/>
      <c r="U22" s="121"/>
    </row>
    <row r="23" spans="1:22">
      <c r="C23">
        <f>C22*20</f>
        <v>1085</v>
      </c>
      <c r="E23">
        <f>E22*20</f>
        <v>1330</v>
      </c>
      <c r="G23">
        <f>G22*20</f>
        <v>975</v>
      </c>
      <c r="I23">
        <f>I22*20</f>
        <v>880</v>
      </c>
      <c r="K23">
        <f>K22*20</f>
        <v>980</v>
      </c>
      <c r="M23">
        <f>M22*20</f>
        <v>700</v>
      </c>
      <c r="R23" s="121"/>
      <c r="S23" s="121"/>
      <c r="T23" s="121"/>
      <c r="U23" s="121"/>
    </row>
    <row r="24" spans="1:22">
      <c r="R24" s="121"/>
      <c r="S24" s="121"/>
      <c r="T24" s="121"/>
      <c r="U24" s="121"/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75" customHeight="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375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18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Q32">
        <f>P22*20</f>
        <v>5950</v>
      </c>
    </row>
    <row r="33" spans="1:10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10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10" ht="15" customHeight="1"/>
    <row r="37" spans="1:10" ht="18.75" customHeight="1"/>
    <row r="38" spans="1:10" ht="15"/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2D17-E1DC-48E7-912B-4CA8BDF2652F}">
  <dimension ref="A1:V39"/>
  <sheetViews>
    <sheetView zoomScale="70" zoomScaleNormal="70" workbookViewId="0">
      <selection activeCell="G5" sqref="G5"/>
    </sheetView>
  </sheetViews>
  <sheetFormatPr defaultRowHeight="14.45"/>
  <cols>
    <col min="1" max="1" width="26.28515625" customWidth="1"/>
    <col min="2" max="2" width="17.42578125" customWidth="1"/>
    <col min="3" max="3" width="6.7109375" bestFit="1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21.710937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17" width="8.85546875" bestFit="1" customWidth="1"/>
    <col min="18" max="18" width="12.5703125" customWidth="1"/>
    <col min="19" max="19" width="11" customWidth="1"/>
    <col min="20" max="20" width="24.710937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46181</v>
      </c>
      <c r="C2" s="6"/>
      <c r="D2" s="5">
        <v>46182</v>
      </c>
      <c r="E2" s="6"/>
      <c r="F2" s="5">
        <v>46183</v>
      </c>
      <c r="G2" s="6"/>
      <c r="H2" s="5">
        <v>46184</v>
      </c>
      <c r="I2" s="6"/>
      <c r="J2" s="5">
        <v>46185</v>
      </c>
      <c r="K2" s="6"/>
      <c r="L2" s="5">
        <v>46186</v>
      </c>
      <c r="M2" s="6"/>
      <c r="N2" s="5">
        <v>46187</v>
      </c>
      <c r="O2" s="7"/>
      <c r="P2" s="3"/>
    </row>
    <row r="3" spans="1:22" ht="96.6" customHeight="1">
      <c r="A3" s="8" t="s">
        <v>9</v>
      </c>
      <c r="B3" s="62"/>
      <c r="C3" s="10"/>
      <c r="D3" s="62" t="s">
        <v>120</v>
      </c>
      <c r="E3" s="10"/>
      <c r="F3" s="379" t="s">
        <v>121</v>
      </c>
      <c r="G3" s="11"/>
      <c r="H3" s="380" t="s">
        <v>122</v>
      </c>
      <c r="I3" s="10"/>
      <c r="J3" s="380" t="s">
        <v>122</v>
      </c>
      <c r="K3" s="10"/>
      <c r="L3" s="62"/>
      <c r="M3" s="13"/>
      <c r="N3" s="62"/>
      <c r="O3" s="15"/>
      <c r="P3" s="3"/>
    </row>
    <row r="4" spans="1:22" ht="28.9">
      <c r="A4" s="82" t="s">
        <v>14</v>
      </c>
      <c r="B4" s="18" t="s">
        <v>123</v>
      </c>
      <c r="C4" s="18">
        <v>7</v>
      </c>
      <c r="D4" s="18" t="s">
        <v>124</v>
      </c>
      <c r="E4" s="18">
        <v>9.5</v>
      </c>
      <c r="F4" s="18" t="s">
        <v>125</v>
      </c>
      <c r="G4" s="18">
        <v>6.5</v>
      </c>
      <c r="H4" s="18" t="s">
        <v>126</v>
      </c>
      <c r="I4" s="18">
        <v>13</v>
      </c>
      <c r="J4" s="18" t="s">
        <v>127</v>
      </c>
      <c r="K4" s="18">
        <v>12</v>
      </c>
      <c r="L4" s="289" t="s">
        <v>17</v>
      </c>
      <c r="M4" s="18"/>
      <c r="N4" s="18" t="s">
        <v>17</v>
      </c>
      <c r="O4" s="18"/>
      <c r="P4" s="3">
        <f t="shared" ref="P4:P6" si="0">SUM(O4,M4,K4,I4,G4,E4,C4)</f>
        <v>48</v>
      </c>
    </row>
    <row r="5" spans="1:22" ht="29.45" thickBot="1">
      <c r="A5" s="45" t="s">
        <v>18</v>
      </c>
      <c r="B5" s="18" t="s">
        <v>128</v>
      </c>
      <c r="C5" s="18">
        <v>7.5</v>
      </c>
      <c r="D5" s="18" t="s">
        <v>129</v>
      </c>
      <c r="E5" s="18">
        <v>8</v>
      </c>
      <c r="F5" s="384" t="s">
        <v>16</v>
      </c>
      <c r="G5" s="18">
        <v>8</v>
      </c>
      <c r="H5" s="384" t="s">
        <v>130</v>
      </c>
      <c r="I5" s="18">
        <v>13</v>
      </c>
      <c r="J5" s="384" t="s">
        <v>131</v>
      </c>
      <c r="K5" s="18">
        <v>12</v>
      </c>
      <c r="L5" s="289" t="s">
        <v>17</v>
      </c>
      <c r="M5" s="18"/>
      <c r="N5" s="18" t="s">
        <v>17</v>
      </c>
      <c r="O5" s="18"/>
      <c r="P5" s="3">
        <f t="shared" si="0"/>
        <v>48.5</v>
      </c>
    </row>
    <row r="6" spans="1:22" ht="51.75" customHeight="1" thickTop="1" thickBot="1">
      <c r="A6" s="350" t="s">
        <v>20</v>
      </c>
      <c r="B6" s="45" t="s">
        <v>132</v>
      </c>
      <c r="C6" s="47">
        <v>-1.5</v>
      </c>
      <c r="D6" s="415" t="s">
        <v>133</v>
      </c>
      <c r="E6" s="387">
        <v>3.5</v>
      </c>
      <c r="F6" s="415" t="s">
        <v>134</v>
      </c>
      <c r="G6" s="387">
        <v>5</v>
      </c>
      <c r="H6" s="386" t="s">
        <v>135</v>
      </c>
      <c r="I6" s="387">
        <v>12</v>
      </c>
      <c r="J6" s="389" t="s">
        <v>136</v>
      </c>
      <c r="K6" s="73">
        <v>11</v>
      </c>
      <c r="L6" s="301"/>
      <c r="M6" s="48"/>
      <c r="N6" s="18" t="s">
        <v>17</v>
      </c>
      <c r="O6" s="18"/>
      <c r="P6" s="3">
        <f t="shared" si="0"/>
        <v>30</v>
      </c>
    </row>
    <row r="7" spans="1:22" ht="30" thickTop="1" thickBot="1">
      <c r="A7" s="163" t="s">
        <v>25</v>
      </c>
      <c r="B7" s="329" t="s">
        <v>137</v>
      </c>
      <c r="C7" s="314">
        <v>7</v>
      </c>
      <c r="D7" s="388" t="s">
        <v>138</v>
      </c>
      <c r="E7" s="314">
        <v>6.5</v>
      </c>
      <c r="F7" s="418"/>
      <c r="G7" s="314"/>
      <c r="H7" s="385" t="s">
        <v>139</v>
      </c>
      <c r="I7" s="381">
        <v>6</v>
      </c>
      <c r="J7" s="390" t="s">
        <v>140</v>
      </c>
      <c r="K7" s="382">
        <v>5.5</v>
      </c>
      <c r="L7" s="373" t="s">
        <v>141</v>
      </c>
      <c r="M7" s="314">
        <v>4.5</v>
      </c>
      <c r="N7" s="18" t="s">
        <v>17</v>
      </c>
      <c r="O7" s="18"/>
      <c r="P7" s="3">
        <f>SUM(O7,M7,K7,I7,G7,E7,C7)</f>
        <v>29.5</v>
      </c>
      <c r="R7" s="121" t="s">
        <v>31</v>
      </c>
      <c r="S7" s="121" t="s">
        <v>32</v>
      </c>
      <c r="T7" s="121" t="s">
        <v>33</v>
      </c>
      <c r="U7" s="121"/>
    </row>
    <row r="8" spans="1:22" ht="44.45" thickTop="1" thickBot="1">
      <c r="A8" s="163" t="s">
        <v>34</v>
      </c>
      <c r="B8" s="56"/>
      <c r="C8" s="314"/>
      <c r="D8" s="329" t="s">
        <v>142</v>
      </c>
      <c r="E8" s="314">
        <v>7.5</v>
      </c>
      <c r="F8" s="297" t="s">
        <v>143</v>
      </c>
      <c r="G8" s="314">
        <v>6.5</v>
      </c>
      <c r="H8" s="56" t="s">
        <v>144</v>
      </c>
      <c r="I8" s="314">
        <v>9</v>
      </c>
      <c r="J8" s="410" t="s">
        <v>145</v>
      </c>
      <c r="K8" s="314">
        <v>8.5</v>
      </c>
      <c r="L8" s="69"/>
      <c r="M8" s="47"/>
      <c r="N8" s="18" t="s">
        <v>17</v>
      </c>
      <c r="O8" s="18"/>
      <c r="P8" s="3">
        <f>SUM(O8,M8,K8,I8,G8,E8,C8)</f>
        <v>31.5</v>
      </c>
      <c r="R8" s="121"/>
      <c r="S8" s="121"/>
      <c r="T8" s="260"/>
      <c r="U8" s="121" t="s">
        <v>39</v>
      </c>
    </row>
    <row r="9" spans="1:22" ht="44.45" thickTop="1" thickBot="1">
      <c r="A9" s="45" t="s">
        <v>40</v>
      </c>
      <c r="B9" s="301" t="s">
        <v>146</v>
      </c>
      <c r="C9" s="314">
        <v>4</v>
      </c>
      <c r="D9" s="60" t="s">
        <v>147</v>
      </c>
      <c r="E9" s="314">
        <v>8</v>
      </c>
      <c r="F9" s="310" t="s">
        <v>148</v>
      </c>
      <c r="G9" s="314">
        <v>6.5</v>
      </c>
      <c r="H9" s="408" t="s">
        <v>149</v>
      </c>
      <c r="I9" s="381">
        <v>5.5</v>
      </c>
      <c r="J9" s="413" t="s">
        <v>150</v>
      </c>
      <c r="K9" s="382">
        <v>11</v>
      </c>
      <c r="L9" s="69"/>
      <c r="M9" s="48"/>
      <c r="N9" s="18" t="s">
        <v>17</v>
      </c>
      <c r="O9" s="18"/>
      <c r="P9" s="3">
        <f t="shared" ref="P9:P21" si="1">SUM(O9,M9,K9,I9,G9,E9,C9)</f>
        <v>35</v>
      </c>
      <c r="R9" s="121"/>
      <c r="S9" s="121"/>
      <c r="T9" s="260"/>
      <c r="U9" s="121" t="s">
        <v>45</v>
      </c>
    </row>
    <row r="10" spans="1:22" ht="47.25" customHeight="1" thickTop="1" thickBot="1">
      <c r="A10" s="163" t="s">
        <v>46</v>
      </c>
      <c r="B10" s="373"/>
      <c r="C10" s="314"/>
      <c r="D10" s="373" t="s">
        <v>151</v>
      </c>
      <c r="E10" s="314">
        <v>4</v>
      </c>
      <c r="F10" s="329" t="s">
        <v>152</v>
      </c>
      <c r="G10" s="407">
        <v>9.5</v>
      </c>
      <c r="H10" s="411" t="s">
        <v>153</v>
      </c>
      <c r="I10" s="392">
        <v>11</v>
      </c>
      <c r="J10" s="414" t="s">
        <v>154</v>
      </c>
      <c r="K10" s="382">
        <v>5.5</v>
      </c>
      <c r="L10" s="329" t="s">
        <v>155</v>
      </c>
      <c r="M10" s="314">
        <v>5</v>
      </c>
      <c r="N10" s="18" t="s">
        <v>17</v>
      </c>
      <c r="O10" s="18"/>
      <c r="P10" s="3">
        <f t="shared" si="1"/>
        <v>35</v>
      </c>
      <c r="R10" s="121"/>
      <c r="S10" s="121"/>
      <c r="T10" s="121"/>
      <c r="U10" s="121" t="s">
        <v>50</v>
      </c>
    </row>
    <row r="11" spans="1:22" ht="28.9" customHeight="1" thickTop="1">
      <c r="A11" s="60" t="s">
        <v>51</v>
      </c>
      <c r="B11" s="329"/>
      <c r="C11" s="314"/>
      <c r="D11" s="133" t="s">
        <v>156</v>
      </c>
      <c r="E11" s="314">
        <v>2</v>
      </c>
      <c r="F11" s="329"/>
      <c r="G11" s="314"/>
      <c r="H11" s="409" t="s">
        <v>157</v>
      </c>
      <c r="I11" s="314">
        <v>7.5</v>
      </c>
      <c r="J11" s="412" t="s">
        <v>158</v>
      </c>
      <c r="K11" s="314">
        <v>7</v>
      </c>
      <c r="L11" s="329" t="s">
        <v>159</v>
      </c>
      <c r="M11" s="314">
        <v>7.5</v>
      </c>
      <c r="N11" s="18" t="s">
        <v>17</v>
      </c>
      <c r="O11" s="18"/>
      <c r="P11" s="3">
        <f t="shared" si="1"/>
        <v>24</v>
      </c>
      <c r="R11" s="121"/>
      <c r="S11" s="121"/>
      <c r="T11" s="121"/>
      <c r="U11" s="121" t="s">
        <v>55</v>
      </c>
    </row>
    <row r="12" spans="1:22">
      <c r="A12" s="163" t="s">
        <v>56</v>
      </c>
      <c r="B12" s="90" t="s">
        <v>26</v>
      </c>
      <c r="C12" s="314"/>
      <c r="D12" s="273"/>
      <c r="E12" s="314"/>
      <c r="F12" s="329" t="s">
        <v>26</v>
      </c>
      <c r="G12" s="326"/>
      <c r="H12" s="129" t="s">
        <v>26</v>
      </c>
      <c r="I12" s="314"/>
      <c r="J12" s="347" t="s">
        <v>160</v>
      </c>
      <c r="K12" s="314">
        <v>7.5</v>
      </c>
      <c r="L12" s="48" t="s">
        <v>26</v>
      </c>
      <c r="M12" s="314"/>
      <c r="N12" s="18" t="s">
        <v>17</v>
      </c>
      <c r="O12" s="18"/>
      <c r="P12" s="3">
        <f t="shared" si="1"/>
        <v>7.5</v>
      </c>
      <c r="R12" s="121"/>
      <c r="S12" s="121"/>
      <c r="T12" s="121"/>
      <c r="U12" s="121" t="s">
        <v>58</v>
      </c>
    </row>
    <row r="13" spans="1:22" ht="43.15">
      <c r="A13" s="60" t="s">
        <v>59</v>
      </c>
      <c r="B13" s="329" t="s">
        <v>161</v>
      </c>
      <c r="C13" s="314">
        <v>8</v>
      </c>
      <c r="D13" s="60"/>
      <c r="E13" s="48"/>
      <c r="F13" s="45" t="s">
        <v>162</v>
      </c>
      <c r="G13" s="48">
        <v>8</v>
      </c>
      <c r="H13" s="38"/>
      <c r="I13" s="314"/>
      <c r="J13" s="301" t="s">
        <v>151</v>
      </c>
      <c r="K13" s="48">
        <v>4</v>
      </c>
      <c r="L13" s="301" t="s">
        <v>163</v>
      </c>
      <c r="M13" s="314">
        <v>4.5</v>
      </c>
      <c r="N13" s="18" t="s">
        <v>17</v>
      </c>
      <c r="O13" s="18"/>
      <c r="P13" s="3">
        <f t="shared" si="1"/>
        <v>24.5</v>
      </c>
      <c r="R13" s="121"/>
      <c r="S13" s="121"/>
      <c r="T13" s="121"/>
      <c r="U13" s="121"/>
    </row>
    <row r="14" spans="1:22" ht="28.9">
      <c r="A14" s="60" t="s">
        <v>63</v>
      </c>
      <c r="B14" s="319" t="s">
        <v>164</v>
      </c>
      <c r="C14" s="314">
        <v>6</v>
      </c>
      <c r="D14" s="273"/>
      <c r="E14" s="314"/>
      <c r="F14" s="319" t="s">
        <v>165</v>
      </c>
      <c r="G14" s="314">
        <v>6</v>
      </c>
      <c r="H14" s="319" t="s">
        <v>166</v>
      </c>
      <c r="I14" s="314">
        <v>6</v>
      </c>
      <c r="J14" s="319" t="s">
        <v>167</v>
      </c>
      <c r="K14" s="314">
        <v>6</v>
      </c>
      <c r="L14" s="69"/>
      <c r="M14" s="48"/>
      <c r="N14" s="18" t="s">
        <v>17</v>
      </c>
      <c r="O14" s="18"/>
      <c r="P14" s="3">
        <f t="shared" si="1"/>
        <v>24</v>
      </c>
      <c r="R14" s="121"/>
      <c r="S14" s="121"/>
      <c r="T14" s="121"/>
      <c r="U14" s="121"/>
    </row>
    <row r="15" spans="1:22" ht="15" thickBot="1">
      <c r="A15" s="60" t="s">
        <v>65</v>
      </c>
      <c r="B15" s="420" t="s">
        <v>168</v>
      </c>
      <c r="C15" s="314">
        <v>7.5</v>
      </c>
      <c r="D15" s="60" t="s">
        <v>169</v>
      </c>
      <c r="E15" s="48">
        <v>7.5</v>
      </c>
      <c r="F15" s="329" t="s">
        <v>170</v>
      </c>
      <c r="G15" s="314">
        <v>5</v>
      </c>
      <c r="H15" s="391" t="s">
        <v>26</v>
      </c>
      <c r="I15" s="314"/>
      <c r="J15" s="391" t="s">
        <v>26</v>
      </c>
      <c r="K15" s="314"/>
      <c r="L15" s="298" t="s">
        <v>171</v>
      </c>
      <c r="M15" s="48">
        <v>6.5</v>
      </c>
      <c r="N15" s="18" t="s">
        <v>17</v>
      </c>
      <c r="O15" s="18"/>
      <c r="P15" s="3">
        <f t="shared" si="1"/>
        <v>26.5</v>
      </c>
      <c r="R15" s="121"/>
      <c r="S15" s="121"/>
      <c r="T15" s="121"/>
      <c r="U15" s="121"/>
    </row>
    <row r="16" spans="1:22" ht="45" thickTop="1" thickBot="1">
      <c r="A16" s="419" t="s">
        <v>69</v>
      </c>
      <c r="B16" s="421" t="s">
        <v>172</v>
      </c>
      <c r="C16" s="73">
        <v>4</v>
      </c>
      <c r="D16" s="297" t="s">
        <v>26</v>
      </c>
      <c r="E16" s="314"/>
      <c r="F16" s="297" t="s">
        <v>134</v>
      </c>
      <c r="G16" s="381">
        <v>5</v>
      </c>
      <c r="H16" s="394" t="s">
        <v>173</v>
      </c>
      <c r="I16" s="392">
        <v>11</v>
      </c>
      <c r="J16" s="394" t="s">
        <v>174</v>
      </c>
      <c r="K16" s="382">
        <v>10</v>
      </c>
      <c r="L16" s="69"/>
      <c r="M16" s="314"/>
      <c r="N16" s="18" t="s">
        <v>17</v>
      </c>
      <c r="O16" s="18"/>
      <c r="P16" s="3">
        <f t="shared" si="1"/>
        <v>30</v>
      </c>
      <c r="R16" s="299" t="s">
        <v>74</v>
      </c>
      <c r="S16" s="299"/>
      <c r="T16" s="299" t="s">
        <v>75</v>
      </c>
      <c r="U16" s="299"/>
      <c r="V16" s="300"/>
    </row>
    <row r="17" spans="1:22" ht="19.149999999999999" thickTop="1" thickBot="1">
      <c r="A17" s="128" t="s">
        <v>76</v>
      </c>
      <c r="B17" s="383" t="s">
        <v>151</v>
      </c>
      <c r="C17" s="314">
        <v>4</v>
      </c>
      <c r="D17" s="155" t="s">
        <v>175</v>
      </c>
      <c r="E17" s="314">
        <v>2.5</v>
      </c>
      <c r="F17" s="416"/>
      <c r="G17" s="381"/>
      <c r="H17" s="393" t="s">
        <v>176</v>
      </c>
      <c r="I17" s="392">
        <v>11</v>
      </c>
      <c r="J17" s="395" t="s">
        <v>177</v>
      </c>
      <c r="K17" s="382">
        <v>10.5</v>
      </c>
      <c r="L17" s="301"/>
      <c r="M17" s="48"/>
      <c r="N17" s="18" t="s">
        <v>17</v>
      </c>
      <c r="O17" s="18"/>
      <c r="P17" s="3">
        <f t="shared" si="1"/>
        <v>28</v>
      </c>
      <c r="R17" s="299"/>
      <c r="S17" s="299"/>
      <c r="T17" s="299"/>
      <c r="U17" s="299"/>
      <c r="V17" s="300"/>
    </row>
    <row r="18" spans="1:22" ht="19.149999999999999" thickTop="1" thickBot="1">
      <c r="A18" s="163" t="s">
        <v>80</v>
      </c>
      <c r="B18" s="374" t="s">
        <v>178</v>
      </c>
      <c r="C18" s="18">
        <v>3.5</v>
      </c>
      <c r="D18" s="391"/>
      <c r="E18" s="381"/>
      <c r="F18" s="417" t="s">
        <v>179</v>
      </c>
      <c r="G18" s="400">
        <v>4.5</v>
      </c>
      <c r="H18" s="398" t="s">
        <v>151</v>
      </c>
      <c r="I18" s="381">
        <v>4</v>
      </c>
      <c r="J18" s="397" t="s">
        <v>180</v>
      </c>
      <c r="K18" s="73">
        <v>12</v>
      </c>
      <c r="L18" s="69"/>
      <c r="M18" s="48"/>
      <c r="N18" s="18" t="s">
        <v>17</v>
      </c>
      <c r="O18" s="18"/>
      <c r="P18" s="3">
        <f t="shared" si="1"/>
        <v>24</v>
      </c>
      <c r="R18" s="299"/>
      <c r="S18" s="299"/>
      <c r="T18" s="299"/>
      <c r="U18" s="299"/>
      <c r="V18" s="300"/>
    </row>
    <row r="19" spans="1:22" ht="30.6" thickTop="1" thickBot="1">
      <c r="A19" s="316" t="s">
        <v>84</v>
      </c>
      <c r="B19" s="314"/>
      <c r="C19" s="381"/>
      <c r="D19" s="423" t="s">
        <v>181</v>
      </c>
      <c r="E19" s="382">
        <v>1.5</v>
      </c>
      <c r="F19" s="409"/>
      <c r="G19" s="381"/>
      <c r="H19" s="399" t="s">
        <v>182</v>
      </c>
      <c r="I19" s="392">
        <v>10</v>
      </c>
      <c r="J19" s="396" t="s">
        <v>183</v>
      </c>
      <c r="K19" s="382">
        <v>5</v>
      </c>
      <c r="L19" s="301" t="s">
        <v>184</v>
      </c>
      <c r="M19" s="48">
        <v>7.5</v>
      </c>
      <c r="N19" s="18" t="s">
        <v>17</v>
      </c>
      <c r="O19" s="18"/>
      <c r="P19" s="3">
        <f t="shared" si="1"/>
        <v>24</v>
      </c>
      <c r="R19" s="299"/>
      <c r="S19" s="299"/>
      <c r="T19" s="299"/>
      <c r="U19" s="299"/>
      <c r="V19" s="300"/>
    </row>
    <row r="20" spans="1:22" ht="18.600000000000001" thickBot="1">
      <c r="A20" s="45" t="s">
        <v>185</v>
      </c>
      <c r="B20" s="101" t="s">
        <v>186</v>
      </c>
      <c r="C20" s="48">
        <v>5</v>
      </c>
      <c r="D20" s="422" t="s">
        <v>187</v>
      </c>
      <c r="E20" s="18">
        <v>5</v>
      </c>
      <c r="F20" s="82"/>
      <c r="G20" s="18"/>
      <c r="H20" s="401"/>
      <c r="I20" s="18"/>
      <c r="J20" s="405" t="s">
        <v>186</v>
      </c>
      <c r="K20" s="48">
        <v>5</v>
      </c>
      <c r="L20" s="321"/>
      <c r="M20" s="18"/>
      <c r="N20" s="18" t="s">
        <v>17</v>
      </c>
      <c r="O20" s="18"/>
      <c r="P20" s="3">
        <f t="shared" si="1"/>
        <v>15</v>
      </c>
      <c r="R20" s="299"/>
      <c r="S20" s="299"/>
      <c r="T20" s="299"/>
      <c r="U20" s="299"/>
      <c r="V20" s="300"/>
    </row>
    <row r="21" spans="1:22" ht="19.149999999999999" thickTop="1" thickBot="1">
      <c r="A21" s="45" t="s">
        <v>188</v>
      </c>
      <c r="B21" s="82"/>
      <c r="C21" s="18"/>
      <c r="D21" s="141"/>
      <c r="E21" s="18"/>
      <c r="F21" s="334"/>
      <c r="G21" s="20"/>
      <c r="H21" s="403" t="s">
        <v>189</v>
      </c>
      <c r="I21" s="404">
        <v>11</v>
      </c>
      <c r="J21" s="406" t="s">
        <v>190</v>
      </c>
      <c r="K21" s="382">
        <v>8.5</v>
      </c>
      <c r="L21" s="268"/>
      <c r="M21" s="18"/>
      <c r="N21" s="18" t="s">
        <v>17</v>
      </c>
      <c r="O21" s="18"/>
      <c r="P21" s="3">
        <f t="shared" si="1"/>
        <v>19.5</v>
      </c>
      <c r="R21" s="299"/>
      <c r="S21" s="299"/>
      <c r="T21" s="299"/>
      <c r="U21" s="299"/>
      <c r="V21" s="300"/>
    </row>
    <row r="22" spans="1:22" ht="15" thickTop="1">
      <c r="A22" s="52" t="s">
        <v>95</v>
      </c>
      <c r="B22" s="3" t="s">
        <v>191</v>
      </c>
      <c r="C22" s="3">
        <f>SUM(C7:C21)</f>
        <v>49</v>
      </c>
      <c r="D22" s="372" t="s">
        <v>192</v>
      </c>
      <c r="E22" s="3">
        <f>SUM(E7:E21)</f>
        <v>44.5</v>
      </c>
      <c r="F22" s="372" t="s">
        <v>193</v>
      </c>
      <c r="G22" s="3">
        <f>SUM(G7:G21)</f>
        <v>51</v>
      </c>
      <c r="H22" s="402" t="s">
        <v>194</v>
      </c>
      <c r="I22" s="3">
        <f>SUM(I7:I21)</f>
        <v>92</v>
      </c>
      <c r="J22" s="402" t="s">
        <v>195</v>
      </c>
      <c r="K22" s="3">
        <f>SUM(K7:K21)</f>
        <v>106</v>
      </c>
      <c r="L22" s="372" t="s">
        <v>196</v>
      </c>
      <c r="M22" s="3">
        <f>SUM(M7:M21)</f>
        <v>35.5</v>
      </c>
      <c r="N22" s="3"/>
      <c r="O22" s="3">
        <f>SUM(O7:O21)</f>
        <v>0</v>
      </c>
      <c r="P22" s="3">
        <f>SUM(O22,M22,K22,I22,G22,E22,C22)</f>
        <v>378</v>
      </c>
      <c r="R22" s="121"/>
      <c r="S22" s="121"/>
      <c r="T22" s="121"/>
      <c r="U22" s="121"/>
    </row>
    <row r="23" spans="1:22">
      <c r="C23">
        <f>C22*20</f>
        <v>980</v>
      </c>
      <c r="G23">
        <f>G22*20</f>
        <v>1020</v>
      </c>
      <c r="I23">
        <f>I22*20</f>
        <v>1840</v>
      </c>
      <c r="K23">
        <f>SUM(K7:K21)</f>
        <v>106</v>
      </c>
      <c r="M23">
        <f>SUM(M7:M21)</f>
        <v>35.5</v>
      </c>
      <c r="R23" s="121"/>
      <c r="S23" s="121"/>
      <c r="T23" s="121"/>
      <c r="U23" s="121"/>
    </row>
    <row r="24" spans="1:22">
      <c r="R24" s="121"/>
      <c r="S24" s="121"/>
      <c r="T24" s="121"/>
      <c r="U24" s="121"/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75" customHeight="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375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18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Q32">
        <f>P22*20</f>
        <v>7560</v>
      </c>
    </row>
    <row r="33" spans="1:22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22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22" ht="15" customHeight="1">
      <c r="T36" t="s">
        <v>110</v>
      </c>
    </row>
    <row r="37" spans="1:22" ht="18.75" customHeight="1"/>
    <row r="39" spans="1:22">
      <c r="R39" s="351"/>
      <c r="S39" s="351" t="s">
        <v>0</v>
      </c>
      <c r="T39" s="351" t="s">
        <v>2</v>
      </c>
      <c r="U39" s="351" t="s">
        <v>3</v>
      </c>
      <c r="V39" s="351" t="s">
        <v>4</v>
      </c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1768-A5BC-43D7-93D9-2E1B73908C84}">
  <sheetPr>
    <tabColor theme="9"/>
  </sheetPr>
  <dimension ref="A1:V39"/>
  <sheetViews>
    <sheetView topLeftCell="A7" zoomScale="70" zoomScaleNormal="70" workbookViewId="0">
      <selection activeCell="B24" sqref="B24"/>
    </sheetView>
  </sheetViews>
  <sheetFormatPr defaultRowHeight="14.45"/>
  <cols>
    <col min="1" max="1" width="26.28515625" customWidth="1"/>
    <col min="2" max="2" width="17.42578125" customWidth="1"/>
    <col min="3" max="3" width="6.710937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21.710937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46174</v>
      </c>
      <c r="C2" s="6"/>
      <c r="D2" s="5">
        <v>46175</v>
      </c>
      <c r="E2" s="6"/>
      <c r="F2" s="5">
        <v>46176</v>
      </c>
      <c r="G2" s="6"/>
      <c r="H2" s="5">
        <v>46177</v>
      </c>
      <c r="I2" s="6"/>
      <c r="J2" s="5">
        <v>46178</v>
      </c>
      <c r="K2" s="6"/>
      <c r="L2" s="5">
        <v>46179</v>
      </c>
      <c r="M2" s="6"/>
      <c r="N2" s="5">
        <v>46180</v>
      </c>
      <c r="O2" s="7"/>
      <c r="P2" s="3"/>
    </row>
    <row r="3" spans="1:22" ht="96.6" customHeight="1">
      <c r="A3" s="8" t="s">
        <v>9</v>
      </c>
      <c r="B3" s="62" t="s">
        <v>197</v>
      </c>
      <c r="C3" s="10"/>
      <c r="D3" s="62" t="s">
        <v>198</v>
      </c>
      <c r="E3" s="10"/>
      <c r="F3" s="62" t="s">
        <v>199</v>
      </c>
      <c r="G3" s="11"/>
      <c r="H3" s="62" t="s">
        <v>200</v>
      </c>
      <c r="I3" s="10"/>
      <c r="J3" s="62"/>
      <c r="K3" s="10"/>
      <c r="L3" s="62"/>
      <c r="M3" s="13"/>
      <c r="N3" s="62"/>
      <c r="O3" s="15"/>
      <c r="P3" s="3"/>
    </row>
    <row r="4" spans="1:22">
      <c r="A4" s="82" t="s">
        <v>14</v>
      </c>
      <c r="B4" s="18" t="s">
        <v>201</v>
      </c>
      <c r="C4" s="18">
        <v>13</v>
      </c>
      <c r="D4" s="18" t="s">
        <v>202</v>
      </c>
      <c r="E4" s="18">
        <v>7.5</v>
      </c>
      <c r="F4" s="18" t="s">
        <v>203</v>
      </c>
      <c r="G4" s="18">
        <v>7</v>
      </c>
      <c r="H4" s="18" t="s">
        <v>204</v>
      </c>
      <c r="I4" s="18">
        <v>11</v>
      </c>
      <c r="J4" s="18" t="s">
        <v>205</v>
      </c>
      <c r="K4" s="18">
        <v>6.25</v>
      </c>
      <c r="L4" s="289"/>
      <c r="M4" s="18"/>
      <c r="N4" s="18" t="s">
        <v>17</v>
      </c>
      <c r="O4" s="18"/>
      <c r="P4" s="3">
        <f t="shared" ref="P4:P19" si="0">SUM(O4,M4,K4,I4,G4,E4,C4)</f>
        <v>44.75</v>
      </c>
    </row>
    <row r="5" spans="1:22">
      <c r="A5" s="45" t="s">
        <v>18</v>
      </c>
      <c r="B5" s="18" t="s">
        <v>206</v>
      </c>
      <c r="C5" s="18">
        <v>8</v>
      </c>
      <c r="D5" s="18" t="s">
        <v>207</v>
      </c>
      <c r="E5" s="18">
        <v>8</v>
      </c>
      <c r="F5" s="18" t="s">
        <v>208</v>
      </c>
      <c r="G5" s="18">
        <v>8</v>
      </c>
      <c r="H5" s="18" t="s">
        <v>15</v>
      </c>
      <c r="I5" s="18">
        <v>8</v>
      </c>
      <c r="J5" s="18" t="s">
        <v>209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81" customHeight="1">
      <c r="A6" s="350" t="s">
        <v>20</v>
      </c>
      <c r="B6" s="45"/>
      <c r="C6" s="48"/>
      <c r="D6" s="50" t="s">
        <v>210</v>
      </c>
      <c r="E6" s="48">
        <v>8</v>
      </c>
      <c r="F6" s="45" t="s">
        <v>211</v>
      </c>
      <c r="G6" s="48">
        <v>10.5</v>
      </c>
      <c r="H6" s="45" t="s">
        <v>212</v>
      </c>
      <c r="I6" s="48">
        <v>10</v>
      </c>
      <c r="J6" s="45" t="s">
        <v>213</v>
      </c>
      <c r="K6" s="48">
        <v>2</v>
      </c>
      <c r="L6" s="301"/>
      <c r="M6" s="48"/>
      <c r="N6" s="18" t="s">
        <v>17</v>
      </c>
      <c r="O6" s="18"/>
      <c r="P6" s="3">
        <f t="shared" si="0"/>
        <v>30.5</v>
      </c>
    </row>
    <row r="7" spans="1:22" ht="63" customHeight="1">
      <c r="A7" s="163" t="s">
        <v>214</v>
      </c>
      <c r="B7" s="329" t="s">
        <v>215</v>
      </c>
      <c r="C7" s="314">
        <v>1.5</v>
      </c>
      <c r="D7" s="371" t="s">
        <v>216</v>
      </c>
      <c r="E7" s="314">
        <v>5</v>
      </c>
      <c r="F7" s="325" t="s">
        <v>217</v>
      </c>
      <c r="G7" s="314">
        <v>10</v>
      </c>
      <c r="H7" s="334" t="s">
        <v>218</v>
      </c>
      <c r="I7" s="314">
        <v>5</v>
      </c>
      <c r="J7" s="328" t="s">
        <v>70</v>
      </c>
      <c r="K7" s="314">
        <v>4</v>
      </c>
      <c r="L7" s="359"/>
      <c r="M7" s="48"/>
      <c r="N7" s="18" t="s">
        <v>17</v>
      </c>
      <c r="O7" s="18"/>
      <c r="P7" s="3">
        <f t="shared" si="0"/>
        <v>25.5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63" t="s">
        <v>34</v>
      </c>
      <c r="B8" s="56" t="s">
        <v>219</v>
      </c>
      <c r="C8" s="314">
        <v>5</v>
      </c>
      <c r="D8" s="56" t="s">
        <v>220</v>
      </c>
      <c r="E8" s="314">
        <v>8.5</v>
      </c>
      <c r="F8" s="327" t="s">
        <v>221</v>
      </c>
      <c r="G8" s="314">
        <v>6.5</v>
      </c>
      <c r="H8" s="327" t="s">
        <v>222</v>
      </c>
      <c r="I8" s="314">
        <v>6.5</v>
      </c>
      <c r="J8" s="56"/>
      <c r="K8" s="314"/>
      <c r="L8" s="69"/>
      <c r="M8" s="47"/>
      <c r="N8" s="18" t="s">
        <v>17</v>
      </c>
      <c r="O8" s="18"/>
      <c r="P8" s="3">
        <f t="shared" si="0"/>
        <v>26.5</v>
      </c>
      <c r="R8" s="121"/>
      <c r="S8" s="121"/>
      <c r="T8" s="260"/>
      <c r="U8" s="121" t="s">
        <v>39</v>
      </c>
    </row>
    <row r="9" spans="1:22" ht="28.9">
      <c r="A9" s="45" t="s">
        <v>40</v>
      </c>
      <c r="B9" s="329" t="s">
        <v>223</v>
      </c>
      <c r="C9" s="314">
        <v>7.5</v>
      </c>
      <c r="D9" s="60" t="s">
        <v>224</v>
      </c>
      <c r="E9" s="314">
        <v>5.5</v>
      </c>
      <c r="F9" s="352" t="s">
        <v>225</v>
      </c>
      <c r="G9" s="314">
        <v>4.5</v>
      </c>
      <c r="H9" s="326" t="s">
        <v>226</v>
      </c>
      <c r="I9" s="48">
        <v>6</v>
      </c>
      <c r="J9" s="45" t="s">
        <v>227</v>
      </c>
      <c r="K9" s="314">
        <v>6.5</v>
      </c>
      <c r="L9" s="69"/>
      <c r="M9" s="48"/>
      <c r="N9" s="18" t="s">
        <v>17</v>
      </c>
      <c r="O9" s="18"/>
      <c r="P9" s="3">
        <f t="shared" si="0"/>
        <v>30</v>
      </c>
      <c r="R9" s="121"/>
      <c r="S9" s="121"/>
      <c r="T9" s="260"/>
      <c r="U9" s="121" t="s">
        <v>45</v>
      </c>
    </row>
    <row r="10" spans="1:22" ht="15.6">
      <c r="A10" s="163" t="s">
        <v>228</v>
      </c>
      <c r="B10" s="330" t="s">
        <v>26</v>
      </c>
      <c r="C10" s="314"/>
      <c r="D10" s="353" t="s">
        <v>26</v>
      </c>
      <c r="E10" s="314"/>
      <c r="F10" s="325" t="s">
        <v>26</v>
      </c>
      <c r="G10" s="314"/>
      <c r="H10" s="38"/>
      <c r="I10" s="314"/>
      <c r="J10" s="353" t="s">
        <v>26</v>
      </c>
      <c r="K10" s="314"/>
      <c r="L10" s="325" t="s">
        <v>26</v>
      </c>
      <c r="M10" s="314"/>
      <c r="N10" s="18" t="s">
        <v>17</v>
      </c>
      <c r="O10" s="18"/>
      <c r="P10" s="3">
        <f t="shared" si="0"/>
        <v>0</v>
      </c>
      <c r="R10" s="121"/>
      <c r="S10" s="121"/>
      <c r="T10" s="121"/>
      <c r="U10" s="121" t="s">
        <v>50</v>
      </c>
    </row>
    <row r="11" spans="1:22" ht="28.9" customHeight="1">
      <c r="A11" s="60" t="s">
        <v>229</v>
      </c>
      <c r="B11" s="329" t="s">
        <v>230</v>
      </c>
      <c r="C11" s="314">
        <v>10</v>
      </c>
      <c r="D11" s="133" t="s">
        <v>231</v>
      </c>
      <c r="E11" s="314">
        <v>3.5</v>
      </c>
      <c r="F11" s="329"/>
      <c r="G11" s="314"/>
      <c r="H11" s="329"/>
      <c r="I11" s="314"/>
      <c r="J11" s="297" t="s">
        <v>232</v>
      </c>
      <c r="K11" s="314">
        <v>3</v>
      </c>
      <c r="L11" s="329" t="s">
        <v>233</v>
      </c>
      <c r="M11" s="314">
        <v>7.5</v>
      </c>
      <c r="N11" s="18" t="s">
        <v>17</v>
      </c>
      <c r="O11" s="18"/>
      <c r="P11" s="3">
        <f t="shared" si="0"/>
        <v>24</v>
      </c>
      <c r="R11" s="121"/>
      <c r="S11" s="121"/>
      <c r="T11" s="121"/>
      <c r="U11" s="121" t="s">
        <v>55</v>
      </c>
    </row>
    <row r="12" spans="1:22">
      <c r="A12" s="163" t="s">
        <v>234</v>
      </c>
      <c r="B12" s="90" t="s">
        <v>17</v>
      </c>
      <c r="C12" s="314"/>
      <c r="D12" s="273"/>
      <c r="E12" s="314"/>
      <c r="F12" s="329" t="s">
        <v>26</v>
      </c>
      <c r="G12" s="314"/>
      <c r="H12" s="129"/>
      <c r="I12" s="314"/>
      <c r="J12" s="310"/>
      <c r="K12" s="314"/>
      <c r="L12" s="56" t="s">
        <v>26</v>
      </c>
      <c r="M12" s="314"/>
      <c r="N12" s="18" t="s">
        <v>17</v>
      </c>
      <c r="O12" s="18"/>
      <c r="P12" s="3">
        <f t="shared" si="0"/>
        <v>0</v>
      </c>
      <c r="R12" s="121"/>
      <c r="S12" s="121"/>
      <c r="T12" s="121"/>
      <c r="U12" s="121" t="s">
        <v>58</v>
      </c>
    </row>
    <row r="13" spans="1:22" ht="58.9" customHeight="1">
      <c r="A13" s="60" t="s">
        <v>235</v>
      </c>
      <c r="B13" s="60" t="s">
        <v>236</v>
      </c>
      <c r="C13" s="48">
        <v>5.5</v>
      </c>
      <c r="D13" s="50" t="s">
        <v>237</v>
      </c>
      <c r="E13" s="48">
        <v>7.5</v>
      </c>
      <c r="F13" s="60"/>
      <c r="G13" s="48"/>
      <c r="H13" s="38"/>
      <c r="I13" s="314"/>
      <c r="J13" s="329" t="s">
        <v>238</v>
      </c>
      <c r="K13" s="48">
        <v>4</v>
      </c>
      <c r="L13" s="378" t="s">
        <v>239</v>
      </c>
      <c r="M13" s="314">
        <v>7</v>
      </c>
      <c r="N13" s="18" t="s">
        <v>17</v>
      </c>
      <c r="O13" s="18"/>
      <c r="P13" s="3">
        <f t="shared" si="0"/>
        <v>24</v>
      </c>
      <c r="R13" s="121"/>
      <c r="S13" s="121"/>
      <c r="T13" s="121"/>
      <c r="U13" s="121"/>
    </row>
    <row r="14" spans="1:22" ht="46.5" customHeight="1">
      <c r="A14" s="60" t="s">
        <v>240</v>
      </c>
      <c r="B14" s="324" t="s">
        <v>241</v>
      </c>
      <c r="C14" s="314">
        <v>6</v>
      </c>
      <c r="D14" s="273"/>
      <c r="E14" s="314"/>
      <c r="F14" s="304" t="s">
        <v>242</v>
      </c>
      <c r="G14" s="314">
        <v>6</v>
      </c>
      <c r="H14" s="304" t="s">
        <v>242</v>
      </c>
      <c r="I14" s="314">
        <v>6</v>
      </c>
      <c r="J14" s="324" t="s">
        <v>243</v>
      </c>
      <c r="K14" s="314">
        <v>6</v>
      </c>
      <c r="L14" s="69"/>
      <c r="M14" s="48"/>
      <c r="N14" s="18" t="s">
        <v>17</v>
      </c>
      <c r="O14" s="18"/>
      <c r="P14" s="3">
        <f t="shared" si="0"/>
        <v>24</v>
      </c>
      <c r="R14" s="121"/>
      <c r="S14" s="121"/>
      <c r="T14" s="121"/>
      <c r="U14" s="121"/>
    </row>
    <row r="15" spans="1:22" ht="28.9">
      <c r="A15" s="60" t="s">
        <v>244</v>
      </c>
      <c r="B15" s="60" t="s">
        <v>245</v>
      </c>
      <c r="C15" s="48">
        <v>7.5</v>
      </c>
      <c r="D15" s="329" t="s">
        <v>246</v>
      </c>
      <c r="E15" s="314">
        <v>4</v>
      </c>
      <c r="F15" s="301" t="s">
        <v>247</v>
      </c>
      <c r="G15" s="314">
        <v>5.5</v>
      </c>
      <c r="H15" s="329" t="s">
        <v>248</v>
      </c>
      <c r="I15" s="314">
        <v>5</v>
      </c>
      <c r="J15" s="60" t="s">
        <v>249</v>
      </c>
      <c r="K15" s="48">
        <v>3</v>
      </c>
      <c r="L15" s="331" t="s">
        <v>250</v>
      </c>
      <c r="M15" s="48">
        <v>6</v>
      </c>
      <c r="N15" s="18" t="s">
        <v>17</v>
      </c>
      <c r="O15" s="18"/>
      <c r="P15" s="3">
        <f t="shared" si="0"/>
        <v>31</v>
      </c>
      <c r="R15" s="121"/>
      <c r="S15" s="121"/>
      <c r="T15" s="121"/>
      <c r="U15" s="121"/>
    </row>
    <row r="16" spans="1:22" ht="29.45">
      <c r="A16" s="128" t="s">
        <v>69</v>
      </c>
      <c r="B16" s="328"/>
      <c r="C16" s="314"/>
      <c r="D16" s="153" t="s">
        <v>251</v>
      </c>
      <c r="E16" s="314">
        <v>6.5</v>
      </c>
      <c r="F16" s="153" t="s">
        <v>252</v>
      </c>
      <c r="G16" s="314">
        <v>7</v>
      </c>
      <c r="H16" s="153" t="s">
        <v>251</v>
      </c>
      <c r="I16" s="314">
        <v>6.5</v>
      </c>
      <c r="J16" s="69"/>
      <c r="K16" s="314"/>
      <c r="L16" s="304" t="s">
        <v>26</v>
      </c>
      <c r="M16" s="48"/>
      <c r="N16" s="18" t="s">
        <v>17</v>
      </c>
      <c r="O16" s="18"/>
      <c r="P16" s="3">
        <f t="shared" si="0"/>
        <v>20</v>
      </c>
      <c r="R16" s="299" t="s">
        <v>74</v>
      </c>
      <c r="S16" s="299"/>
      <c r="T16" s="299" t="s">
        <v>75</v>
      </c>
      <c r="U16" s="299"/>
      <c r="V16" s="300"/>
    </row>
    <row r="17" spans="1:22" ht="62.45" customHeight="1">
      <c r="A17" s="128" t="s">
        <v>76</v>
      </c>
      <c r="B17" s="314"/>
      <c r="C17" s="314"/>
      <c r="D17" s="155" t="s">
        <v>253</v>
      </c>
      <c r="E17" s="314">
        <v>4.5</v>
      </c>
      <c r="F17" s="314"/>
      <c r="G17" s="48"/>
      <c r="H17" s="314" t="s">
        <v>254</v>
      </c>
      <c r="I17" s="48">
        <v>5</v>
      </c>
      <c r="J17" s="314" t="s">
        <v>255</v>
      </c>
      <c r="K17" s="48">
        <v>4.5</v>
      </c>
      <c r="L17" s="301" t="s">
        <v>256</v>
      </c>
      <c r="M17" s="48">
        <v>10</v>
      </c>
      <c r="N17" s="18" t="s">
        <v>17</v>
      </c>
      <c r="O17" s="18"/>
      <c r="P17" s="3">
        <f t="shared" si="0"/>
        <v>24</v>
      </c>
      <c r="R17" s="299"/>
      <c r="S17" s="299"/>
      <c r="T17" s="299"/>
      <c r="U17" s="299"/>
      <c r="V17" s="300"/>
    </row>
    <row r="18" spans="1:22" ht="43.9">
      <c r="A18" s="128" t="s">
        <v>257</v>
      </c>
      <c r="B18" s="303"/>
      <c r="C18" s="18"/>
      <c r="D18" s="45" t="s">
        <v>258</v>
      </c>
      <c r="E18" s="18">
        <v>6</v>
      </c>
      <c r="F18" s="85" t="s">
        <v>259</v>
      </c>
      <c r="G18" s="18">
        <v>7</v>
      </c>
      <c r="H18" s="355" t="s">
        <v>260</v>
      </c>
      <c r="I18" s="18">
        <v>4</v>
      </c>
      <c r="J18" s="314" t="s">
        <v>261</v>
      </c>
      <c r="K18" s="48">
        <v>7</v>
      </c>
      <c r="L18" s="69"/>
      <c r="M18" s="48"/>
      <c r="N18" s="18" t="s">
        <v>17</v>
      </c>
      <c r="O18" s="18"/>
      <c r="P18" s="3">
        <f t="shared" si="0"/>
        <v>24</v>
      </c>
      <c r="R18" s="299"/>
      <c r="S18" s="299"/>
      <c r="T18" s="299"/>
      <c r="U18" s="299"/>
      <c r="V18" s="300"/>
    </row>
    <row r="19" spans="1:22" ht="18">
      <c r="A19" s="316" t="s">
        <v>262</v>
      </c>
      <c r="B19" s="314"/>
      <c r="C19" s="314"/>
      <c r="D19" s="134" t="s">
        <v>263</v>
      </c>
      <c r="E19" s="348">
        <v>6.5</v>
      </c>
      <c r="F19" s="349" t="s">
        <v>264</v>
      </c>
      <c r="G19" s="348">
        <v>8</v>
      </c>
      <c r="H19" s="349" t="s">
        <v>265</v>
      </c>
      <c r="I19" s="314">
        <v>9.5</v>
      </c>
      <c r="J19" s="158"/>
      <c r="K19" s="314"/>
      <c r="L19" s="301" t="s">
        <v>266</v>
      </c>
      <c r="M19" s="314">
        <v>5</v>
      </c>
      <c r="N19" s="18" t="s">
        <v>17</v>
      </c>
      <c r="O19" s="18"/>
      <c r="P19" s="3">
        <f t="shared" si="0"/>
        <v>29</v>
      </c>
      <c r="R19" s="299"/>
      <c r="S19" s="299"/>
      <c r="T19" s="299"/>
      <c r="U19" s="299"/>
      <c r="V19" s="300"/>
    </row>
    <row r="20" spans="1:22" ht="43.15">
      <c r="A20" s="45" t="s">
        <v>267</v>
      </c>
      <c r="B20" s="82"/>
      <c r="C20" s="18"/>
      <c r="D20" s="334" t="s">
        <v>268</v>
      </c>
      <c r="E20" s="18">
        <v>3</v>
      </c>
      <c r="F20" s="82"/>
      <c r="G20" s="18"/>
      <c r="H20" s="356" t="s">
        <v>269</v>
      </c>
      <c r="I20" s="18">
        <v>5.5</v>
      </c>
      <c r="J20" s="82" t="s">
        <v>270</v>
      </c>
      <c r="K20" s="48">
        <v>6.5</v>
      </c>
      <c r="L20" s="321"/>
      <c r="M20" s="18"/>
      <c r="N20" s="18" t="s">
        <v>17</v>
      </c>
      <c r="O20" s="18"/>
      <c r="P20" s="3">
        <f>SUM(O20,M20,K20,I20,G20,E20,C20)</f>
        <v>15</v>
      </c>
      <c r="R20" s="299"/>
      <c r="S20" s="299"/>
      <c r="T20" s="299"/>
      <c r="U20" s="299"/>
      <c r="V20" s="300"/>
    </row>
    <row r="21" spans="1:22" ht="18">
      <c r="A21" s="45" t="s">
        <v>271</v>
      </c>
      <c r="B21" s="85" t="s">
        <v>272</v>
      </c>
      <c r="C21" s="18">
        <v>5.5</v>
      </c>
      <c r="D21" s="141"/>
      <c r="E21" s="18"/>
      <c r="F21" s="334" t="s">
        <v>273</v>
      </c>
      <c r="G21" s="18">
        <v>4</v>
      </c>
      <c r="H21" s="376" t="s">
        <v>274</v>
      </c>
      <c r="I21" s="18">
        <v>5.5</v>
      </c>
      <c r="J21" s="132"/>
      <c r="K21" s="314"/>
      <c r="L21" s="268"/>
      <c r="M21" s="18"/>
      <c r="N21" s="18" t="s">
        <v>17</v>
      </c>
      <c r="O21" s="18"/>
      <c r="P21" s="3">
        <f>SUM(O21,M21,K21,I21,G21,E21,C21)</f>
        <v>15</v>
      </c>
      <c r="R21" s="299"/>
      <c r="S21" s="299"/>
      <c r="T21" s="299"/>
      <c r="U21" s="299"/>
      <c r="V21" s="300"/>
    </row>
    <row r="22" spans="1:22">
      <c r="A22" s="52" t="s">
        <v>95</v>
      </c>
      <c r="B22" s="372" t="s">
        <v>0</v>
      </c>
      <c r="C22" s="3">
        <f>SUM(C7:C21)</f>
        <v>48.5</v>
      </c>
      <c r="D22" s="3" t="s">
        <v>2</v>
      </c>
      <c r="E22" s="3">
        <f>SUM(E7:E21)</f>
        <v>60.5</v>
      </c>
      <c r="F22" s="372" t="s">
        <v>3</v>
      </c>
      <c r="G22" s="3">
        <f>SUM(G7:G21)</f>
        <v>58.5</v>
      </c>
      <c r="H22" s="372" t="s">
        <v>4</v>
      </c>
      <c r="I22" s="3">
        <f>SUM(I7:I21)</f>
        <v>64.5</v>
      </c>
      <c r="J22" s="372" t="s">
        <v>5</v>
      </c>
      <c r="K22" s="3">
        <f>SUM(K7:K21)</f>
        <v>44.5</v>
      </c>
      <c r="L22" s="372" t="s">
        <v>275</v>
      </c>
      <c r="M22" s="3">
        <f>SUM(M7:M21)</f>
        <v>35.5</v>
      </c>
      <c r="N22" s="3"/>
      <c r="O22" s="3">
        <f>SUM(O7:O21)</f>
        <v>0</v>
      </c>
      <c r="P22" s="3">
        <f>SUM(O22,M22,K22,I22,G22,E22,C22)</f>
        <v>312</v>
      </c>
      <c r="R22" s="121"/>
      <c r="S22" s="121"/>
      <c r="T22" s="121"/>
      <c r="U22" s="121"/>
    </row>
    <row r="23" spans="1:22">
      <c r="C23">
        <f>C22*20</f>
        <v>970</v>
      </c>
      <c r="E23">
        <f>E22*20</f>
        <v>1210</v>
      </c>
      <c r="G23">
        <f>G22*20</f>
        <v>1170</v>
      </c>
      <c r="I23">
        <f>I22*20</f>
        <v>1290</v>
      </c>
      <c r="K23">
        <f>K22*20</f>
        <v>890</v>
      </c>
      <c r="M23">
        <f>M22*20</f>
        <v>710</v>
      </c>
      <c r="P23" s="377">
        <f>P22*20</f>
        <v>6240</v>
      </c>
      <c r="R23" s="121"/>
      <c r="S23" s="121"/>
      <c r="T23" s="121"/>
      <c r="U23" s="121"/>
    </row>
    <row r="24" spans="1:22">
      <c r="R24" s="121"/>
      <c r="S24" s="121"/>
      <c r="T24" s="121"/>
      <c r="U24" s="121"/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75" customHeight="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18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Q32">
        <f>P22*20</f>
        <v>6240</v>
      </c>
    </row>
    <row r="33" spans="1:22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22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22" ht="15" customHeight="1">
      <c r="T36" t="s">
        <v>110</v>
      </c>
    </row>
    <row r="37" spans="1:22" ht="18.75" customHeight="1"/>
    <row r="39" spans="1:22">
      <c r="R39" s="351"/>
      <c r="S39" s="351" t="s">
        <v>0</v>
      </c>
      <c r="T39" s="351" t="s">
        <v>2</v>
      </c>
      <c r="U39" s="351" t="s">
        <v>3</v>
      </c>
      <c r="V39" s="351" t="s">
        <v>4</v>
      </c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C463-7528-47B3-93B1-8D3716EC1442}">
  <sheetPr>
    <tabColor theme="9"/>
  </sheetPr>
  <dimension ref="A1:V39"/>
  <sheetViews>
    <sheetView zoomScaleNormal="100" zoomScaleSheetLayoutView="100" workbookViewId="0">
      <selection activeCell="I7" sqref="I7"/>
    </sheetView>
  </sheetViews>
  <sheetFormatPr defaultRowHeight="14.45"/>
  <cols>
    <col min="1" max="1" width="26.28515625" customWidth="1"/>
    <col min="2" max="2" width="20" customWidth="1"/>
    <col min="3" max="3" width="6.7109375" bestFit="1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21.710937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46167</v>
      </c>
      <c r="C2" s="6"/>
      <c r="D2" s="5">
        <v>46168</v>
      </c>
      <c r="E2" s="6"/>
      <c r="F2" s="5">
        <v>46169</v>
      </c>
      <c r="G2" s="6"/>
      <c r="H2" s="5">
        <v>46170</v>
      </c>
      <c r="I2" s="6"/>
      <c r="J2" s="5">
        <v>46171</v>
      </c>
      <c r="K2" s="6"/>
      <c r="L2" s="5">
        <v>46172</v>
      </c>
      <c r="M2" s="6"/>
      <c r="N2" s="5">
        <v>46173</v>
      </c>
      <c r="O2" s="7"/>
      <c r="P2" s="3"/>
    </row>
    <row r="3" spans="1:22" ht="72">
      <c r="A3" s="8" t="s">
        <v>9</v>
      </c>
      <c r="B3" s="62" t="s">
        <v>276</v>
      </c>
      <c r="C3" s="10"/>
      <c r="D3" s="62" t="s">
        <v>277</v>
      </c>
      <c r="E3" s="10"/>
      <c r="F3" s="62" t="s">
        <v>278</v>
      </c>
      <c r="G3" s="11"/>
      <c r="H3" s="62" t="s">
        <v>279</v>
      </c>
      <c r="I3" s="10"/>
      <c r="J3" s="62" t="s">
        <v>280</v>
      </c>
      <c r="K3" s="10"/>
      <c r="L3" s="62"/>
      <c r="M3" s="13"/>
      <c r="N3" s="62"/>
      <c r="O3" s="15"/>
      <c r="P3" s="3"/>
    </row>
    <row r="4" spans="1:22">
      <c r="A4" s="82" t="s">
        <v>14</v>
      </c>
      <c r="B4" s="18" t="s">
        <v>15</v>
      </c>
      <c r="C4" s="18">
        <v>8</v>
      </c>
      <c r="D4" s="18" t="s">
        <v>15</v>
      </c>
      <c r="E4" s="18">
        <v>8</v>
      </c>
      <c r="F4" s="18" t="s">
        <v>281</v>
      </c>
      <c r="G4" s="18">
        <v>8</v>
      </c>
      <c r="H4" s="18" t="s">
        <v>282</v>
      </c>
      <c r="I4" s="18">
        <v>12</v>
      </c>
      <c r="J4" s="18" t="s">
        <v>283</v>
      </c>
      <c r="K4" s="18">
        <v>11.5</v>
      </c>
      <c r="L4" s="289"/>
      <c r="M4" s="18"/>
      <c r="N4" s="18" t="s">
        <v>17</v>
      </c>
      <c r="O4" s="18"/>
      <c r="P4" s="3">
        <f t="shared" ref="P4:P22" si="0">SUM(O4,M4,K4,I4,G4,E4,C4)</f>
        <v>47.5</v>
      </c>
    </row>
    <row r="5" spans="1:22">
      <c r="A5" s="45" t="s">
        <v>18</v>
      </c>
      <c r="B5" s="18" t="s">
        <v>284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15</v>
      </c>
      <c r="I5" s="18">
        <v>8</v>
      </c>
      <c r="J5" s="18" t="s">
        <v>285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28.9">
      <c r="A6" s="350" t="s">
        <v>20</v>
      </c>
      <c r="B6" s="45" t="s">
        <v>286</v>
      </c>
      <c r="C6" s="48">
        <v>7.5</v>
      </c>
      <c r="D6" s="45" t="s">
        <v>287</v>
      </c>
      <c r="E6" s="48">
        <v>7.5</v>
      </c>
      <c r="F6" s="45" t="s">
        <v>288</v>
      </c>
      <c r="G6" s="48">
        <v>8.5</v>
      </c>
      <c r="H6" s="45" t="s">
        <v>289</v>
      </c>
      <c r="I6" s="48">
        <v>6.5</v>
      </c>
      <c r="J6" s="45"/>
      <c r="K6" s="48"/>
      <c r="L6" s="301"/>
      <c r="M6" s="48"/>
      <c r="N6" s="18" t="s">
        <v>17</v>
      </c>
      <c r="O6" s="18"/>
      <c r="P6" s="3">
        <f t="shared" si="0"/>
        <v>30</v>
      </c>
    </row>
    <row r="7" spans="1:22" ht="43.15">
      <c r="A7" s="163" t="s">
        <v>214</v>
      </c>
      <c r="B7" s="301" t="s">
        <v>290</v>
      </c>
      <c r="C7" s="314">
        <v>5</v>
      </c>
      <c r="D7" s="153" t="s">
        <v>291</v>
      </c>
      <c r="E7" s="314">
        <v>7.5</v>
      </c>
      <c r="F7" s="325"/>
      <c r="G7" s="314"/>
      <c r="H7" s="334" t="s">
        <v>292</v>
      </c>
      <c r="I7" s="314">
        <v>4</v>
      </c>
      <c r="J7" s="328" t="s">
        <v>293</v>
      </c>
      <c r="K7" s="314">
        <v>4</v>
      </c>
      <c r="L7" s="359" t="s">
        <v>294</v>
      </c>
      <c r="M7" s="48">
        <v>4</v>
      </c>
      <c r="N7" s="18" t="s">
        <v>17</v>
      </c>
      <c r="O7" s="18"/>
      <c r="P7" s="3">
        <f t="shared" si="0"/>
        <v>24.5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60" t="s">
        <v>34</v>
      </c>
      <c r="B8" s="56" t="s">
        <v>295</v>
      </c>
      <c r="C8" s="314">
        <v>5</v>
      </c>
      <c r="D8" s="56" t="s">
        <v>296</v>
      </c>
      <c r="E8" s="314">
        <v>7</v>
      </c>
      <c r="F8" s="327" t="s">
        <v>297</v>
      </c>
      <c r="G8" s="314">
        <v>2.5</v>
      </c>
      <c r="H8" s="240" t="s">
        <v>298</v>
      </c>
      <c r="I8" s="314">
        <v>6.5</v>
      </c>
      <c r="J8" s="240" t="s">
        <v>299</v>
      </c>
      <c r="K8" s="314">
        <v>3</v>
      </c>
      <c r="L8" s="69"/>
      <c r="M8" s="48"/>
      <c r="N8" s="18" t="s">
        <v>17</v>
      </c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2" ht="31.15" customHeight="1">
      <c r="A9" s="45" t="s">
        <v>40</v>
      </c>
      <c r="B9" s="329" t="s">
        <v>300</v>
      </c>
      <c r="C9" s="314">
        <v>5</v>
      </c>
      <c r="D9" s="329" t="s">
        <v>301</v>
      </c>
      <c r="E9" s="314">
        <v>5.5</v>
      </c>
      <c r="F9" s="352"/>
      <c r="G9" s="314"/>
      <c r="H9" s="370" t="s">
        <v>302</v>
      </c>
      <c r="I9" s="314">
        <v>8</v>
      </c>
      <c r="J9" s="360" t="s">
        <v>300</v>
      </c>
      <c r="K9" s="314">
        <v>5</v>
      </c>
      <c r="L9" s="69"/>
      <c r="M9" s="48"/>
      <c r="N9" s="18" t="s">
        <v>17</v>
      </c>
      <c r="O9" s="18"/>
      <c r="P9" s="3">
        <f t="shared" si="0"/>
        <v>23.5</v>
      </c>
      <c r="R9" s="121"/>
      <c r="S9" s="121"/>
      <c r="T9" s="260"/>
      <c r="U9" s="121" t="s">
        <v>45</v>
      </c>
    </row>
    <row r="10" spans="1:22" ht="28.9">
      <c r="A10" s="60" t="s">
        <v>228</v>
      </c>
      <c r="B10" s="22" t="s">
        <v>303</v>
      </c>
      <c r="C10" s="314">
        <v>4</v>
      </c>
      <c r="D10" s="22" t="s">
        <v>303</v>
      </c>
      <c r="E10" s="314">
        <v>4</v>
      </c>
      <c r="F10" s="301" t="s">
        <v>304</v>
      </c>
      <c r="G10" s="314">
        <v>8</v>
      </c>
      <c r="H10" s="38"/>
      <c r="I10" s="314"/>
      <c r="J10" s="361" t="s">
        <v>26</v>
      </c>
      <c r="K10" s="314"/>
      <c r="L10" s="301" t="s">
        <v>26</v>
      </c>
      <c r="M10" s="314"/>
      <c r="N10" s="18" t="s">
        <v>17</v>
      </c>
      <c r="O10" s="18"/>
      <c r="P10" s="3">
        <f t="shared" si="0"/>
        <v>16</v>
      </c>
      <c r="R10" s="121"/>
      <c r="S10" s="121"/>
      <c r="T10" s="121"/>
      <c r="U10" s="121" t="s">
        <v>50</v>
      </c>
    </row>
    <row r="11" spans="1:22" ht="28.9">
      <c r="A11" s="60" t="s">
        <v>229</v>
      </c>
      <c r="B11" s="243"/>
      <c r="C11" s="314"/>
      <c r="D11" s="22"/>
      <c r="E11" s="314"/>
      <c r="F11" s="362" t="s">
        <v>305</v>
      </c>
      <c r="G11" s="314">
        <v>6.5</v>
      </c>
      <c r="H11" s="363" t="s">
        <v>306</v>
      </c>
      <c r="I11" s="314">
        <v>3.5</v>
      </c>
      <c r="J11" s="347" t="s">
        <v>307</v>
      </c>
      <c r="K11" s="314">
        <v>6.5</v>
      </c>
      <c r="L11" s="60" t="s">
        <v>308</v>
      </c>
      <c r="M11" s="314">
        <v>7.5</v>
      </c>
      <c r="N11" s="18" t="s">
        <v>17</v>
      </c>
      <c r="O11" s="18"/>
      <c r="P11" s="3">
        <f t="shared" si="0"/>
        <v>24</v>
      </c>
      <c r="R11" s="121"/>
      <c r="S11" s="121"/>
      <c r="T11" s="121"/>
      <c r="U11" s="121" t="s">
        <v>55</v>
      </c>
    </row>
    <row r="12" spans="1:22">
      <c r="A12" s="60" t="s">
        <v>234</v>
      </c>
      <c r="B12" s="364" t="s">
        <v>309</v>
      </c>
      <c r="C12" s="314">
        <v>4</v>
      </c>
      <c r="D12" s="273"/>
      <c r="E12" s="314"/>
      <c r="F12" s="301" t="s">
        <v>310</v>
      </c>
      <c r="G12" s="314">
        <v>7.5</v>
      </c>
      <c r="H12" s="213" t="s">
        <v>309</v>
      </c>
      <c r="I12" s="314">
        <v>4</v>
      </c>
      <c r="J12" s="368"/>
      <c r="K12" s="314"/>
      <c r="L12" s="56" t="s">
        <v>311</v>
      </c>
      <c r="M12" s="314">
        <v>7.5</v>
      </c>
      <c r="N12" s="18" t="s">
        <v>17</v>
      </c>
      <c r="O12" s="18"/>
      <c r="P12" s="3">
        <f t="shared" si="0"/>
        <v>23</v>
      </c>
      <c r="R12" s="121"/>
      <c r="S12" s="121"/>
      <c r="T12" s="121"/>
      <c r="U12" s="121" t="s">
        <v>58</v>
      </c>
    </row>
    <row r="13" spans="1:22">
      <c r="A13" s="60" t="s">
        <v>235</v>
      </c>
      <c r="B13" s="60" t="s">
        <v>312</v>
      </c>
      <c r="C13" s="48">
        <v>4.5</v>
      </c>
      <c r="D13" s="60"/>
      <c r="E13" s="48"/>
      <c r="F13" s="60" t="s">
        <v>313</v>
      </c>
      <c r="G13" s="48">
        <v>4.5</v>
      </c>
      <c r="H13" s="38"/>
      <c r="I13" s="314"/>
      <c r="J13" s="301" t="s">
        <v>314</v>
      </c>
      <c r="K13" s="48">
        <v>7.5</v>
      </c>
      <c r="L13" s="301" t="s">
        <v>315</v>
      </c>
      <c r="M13" s="314">
        <v>7.5</v>
      </c>
      <c r="N13" s="18" t="s">
        <v>17</v>
      </c>
      <c r="O13" s="18"/>
      <c r="P13" s="3">
        <f t="shared" si="0"/>
        <v>24</v>
      </c>
      <c r="R13" s="121"/>
      <c r="S13" s="121"/>
      <c r="T13" s="121"/>
      <c r="U13" s="121"/>
    </row>
    <row r="14" spans="1:22" ht="28.9">
      <c r="A14" s="60" t="s">
        <v>240</v>
      </c>
      <c r="B14" s="324" t="s">
        <v>316</v>
      </c>
      <c r="C14" s="314">
        <v>5</v>
      </c>
      <c r="D14" s="273"/>
      <c r="E14" s="314"/>
      <c r="F14" s="324" t="s">
        <v>317</v>
      </c>
      <c r="G14" s="314">
        <v>6</v>
      </c>
      <c r="H14" s="324" t="s">
        <v>316</v>
      </c>
      <c r="I14" s="314">
        <v>5</v>
      </c>
      <c r="J14" s="324" t="s">
        <v>316</v>
      </c>
      <c r="K14" s="314">
        <v>5</v>
      </c>
      <c r="L14" s="69"/>
      <c r="M14" s="48"/>
      <c r="N14" s="18" t="s">
        <v>17</v>
      </c>
      <c r="O14" s="18"/>
      <c r="P14" s="3">
        <f t="shared" si="0"/>
        <v>21</v>
      </c>
      <c r="R14" s="121"/>
      <c r="S14" s="121"/>
      <c r="T14" s="121"/>
      <c r="U14" s="121"/>
    </row>
    <row r="15" spans="1:22">
      <c r="A15" s="60" t="s">
        <v>244</v>
      </c>
      <c r="B15" s="301" t="s">
        <v>314</v>
      </c>
      <c r="C15" s="314">
        <v>7.5</v>
      </c>
      <c r="D15" s="60" t="s">
        <v>308</v>
      </c>
      <c r="E15" s="314">
        <v>7.5</v>
      </c>
      <c r="F15" s="48" t="s">
        <v>314</v>
      </c>
      <c r="G15" s="314">
        <v>7.5</v>
      </c>
      <c r="H15" s="329" t="s">
        <v>318</v>
      </c>
      <c r="I15" s="314">
        <v>1.5</v>
      </c>
      <c r="J15" s="331"/>
      <c r="K15" s="314"/>
      <c r="L15" s="297"/>
      <c r="M15" s="48"/>
      <c r="N15" s="18" t="s">
        <v>17</v>
      </c>
      <c r="O15" s="18"/>
      <c r="P15" s="3">
        <f t="shared" si="0"/>
        <v>24</v>
      </c>
      <c r="R15" s="121"/>
      <c r="S15" s="121"/>
      <c r="T15" s="121"/>
      <c r="U15" s="121"/>
    </row>
    <row r="16" spans="1:22" ht="18">
      <c r="A16" s="128" t="s">
        <v>69</v>
      </c>
      <c r="B16" s="69"/>
      <c r="C16" s="314"/>
      <c r="D16" s="153" t="s">
        <v>314</v>
      </c>
      <c r="E16" s="314">
        <v>7.5</v>
      </c>
      <c r="F16" s="153"/>
      <c r="G16" s="314"/>
      <c r="H16" s="153" t="s">
        <v>319</v>
      </c>
      <c r="I16" s="314">
        <v>9</v>
      </c>
      <c r="J16" s="69"/>
      <c r="K16" s="314"/>
      <c r="L16" s="297" t="s">
        <v>320</v>
      </c>
      <c r="M16" s="48">
        <v>6</v>
      </c>
      <c r="N16" s="18" t="s">
        <v>17</v>
      </c>
      <c r="O16" s="18"/>
      <c r="P16" s="3">
        <f t="shared" si="0"/>
        <v>22.5</v>
      </c>
      <c r="R16" s="299" t="s">
        <v>74</v>
      </c>
      <c r="S16" s="299"/>
      <c r="T16" s="299" t="s">
        <v>75</v>
      </c>
      <c r="U16" s="299"/>
      <c r="V16" s="300"/>
    </row>
    <row r="17" spans="1:22" ht="29.45">
      <c r="A17" s="128" t="s">
        <v>76</v>
      </c>
      <c r="B17" s="314"/>
      <c r="C17" s="314"/>
      <c r="D17" s="155"/>
      <c r="E17" s="314"/>
      <c r="F17" s="314" t="s">
        <v>321</v>
      </c>
      <c r="G17" s="314">
        <v>4.5</v>
      </c>
      <c r="H17" s="45" t="s">
        <v>322</v>
      </c>
      <c r="I17" s="314">
        <v>9.5</v>
      </c>
      <c r="J17" s="314" t="s">
        <v>323</v>
      </c>
      <c r="K17" s="48">
        <v>5</v>
      </c>
      <c r="L17" s="301" t="s">
        <v>324</v>
      </c>
      <c r="M17" s="48">
        <v>5</v>
      </c>
      <c r="N17" s="18" t="s">
        <v>17</v>
      </c>
      <c r="O17" s="18"/>
      <c r="P17" s="3">
        <f t="shared" si="0"/>
        <v>24</v>
      </c>
      <c r="R17" s="299"/>
      <c r="S17" s="299"/>
      <c r="T17" s="299"/>
      <c r="U17" s="299"/>
      <c r="V17" s="300"/>
    </row>
    <row r="18" spans="1:22" ht="18">
      <c r="A18" s="128" t="s">
        <v>257</v>
      </c>
      <c r="B18" s="365" t="s">
        <v>306</v>
      </c>
      <c r="C18" s="18">
        <v>3.5</v>
      </c>
      <c r="D18" s="45" t="s">
        <v>325</v>
      </c>
      <c r="E18" s="314">
        <v>4.5</v>
      </c>
      <c r="F18" s="329" t="s">
        <v>326</v>
      </c>
      <c r="G18" s="314">
        <v>4.5</v>
      </c>
      <c r="H18" s="366" t="s">
        <v>292</v>
      </c>
      <c r="I18" s="314">
        <v>4</v>
      </c>
      <c r="J18" s="60" t="s">
        <v>308</v>
      </c>
      <c r="K18" s="314">
        <v>7.5</v>
      </c>
      <c r="L18" s="69"/>
      <c r="M18" s="48"/>
      <c r="N18" s="18" t="s">
        <v>17</v>
      </c>
      <c r="O18" s="18"/>
      <c r="P18" s="3">
        <f t="shared" si="0"/>
        <v>24</v>
      </c>
      <c r="R18" s="299"/>
      <c r="S18" s="299"/>
      <c r="T18" s="299"/>
      <c r="U18" s="299"/>
      <c r="V18" s="300"/>
    </row>
    <row r="19" spans="1:22" ht="43.15">
      <c r="A19" s="316" t="s">
        <v>262</v>
      </c>
      <c r="B19" s="314" t="s">
        <v>327</v>
      </c>
      <c r="C19" s="314">
        <v>6</v>
      </c>
      <c r="D19" s="329"/>
      <c r="E19" s="314"/>
      <c r="F19" s="301" t="s">
        <v>328</v>
      </c>
      <c r="G19" s="314">
        <v>4.5</v>
      </c>
      <c r="H19" s="301" t="s">
        <v>328</v>
      </c>
      <c r="I19" s="314">
        <v>4.5</v>
      </c>
      <c r="J19" s="326"/>
      <c r="K19" s="314"/>
      <c r="L19" s="321" t="s">
        <v>329</v>
      </c>
      <c r="M19" s="18">
        <v>6.5</v>
      </c>
      <c r="N19" s="18" t="s">
        <v>17</v>
      </c>
      <c r="O19" s="18"/>
      <c r="P19" s="3">
        <f t="shared" si="0"/>
        <v>21.5</v>
      </c>
      <c r="R19" s="299"/>
      <c r="S19" s="299"/>
      <c r="T19" s="299"/>
      <c r="U19" s="299"/>
      <c r="V19" s="300"/>
    </row>
    <row r="20" spans="1:22" ht="18">
      <c r="A20" s="45" t="s">
        <v>330</v>
      </c>
      <c r="B20" s="82"/>
      <c r="C20" s="18"/>
      <c r="D20" s="334" t="s">
        <v>331</v>
      </c>
      <c r="E20" s="18">
        <v>5</v>
      </c>
      <c r="F20" s="82" t="s">
        <v>332</v>
      </c>
      <c r="G20" s="18">
        <v>6.5</v>
      </c>
      <c r="H20" s="356"/>
      <c r="I20" s="18"/>
      <c r="J20" s="82" t="s">
        <v>333</v>
      </c>
      <c r="K20" s="18">
        <v>3.5</v>
      </c>
      <c r="L20" s="321"/>
      <c r="M20" s="18"/>
      <c r="N20" s="18" t="s">
        <v>17</v>
      </c>
      <c r="O20" s="18"/>
      <c r="P20" s="3">
        <f t="shared" si="0"/>
        <v>15</v>
      </c>
      <c r="R20" s="299"/>
      <c r="S20" s="299"/>
      <c r="T20" s="299"/>
      <c r="U20" s="299"/>
      <c r="V20" s="300"/>
    </row>
    <row r="21" spans="1:22" ht="43.15">
      <c r="A21" s="45" t="s">
        <v>334</v>
      </c>
      <c r="B21" s="321" t="s">
        <v>335</v>
      </c>
      <c r="C21" s="18">
        <v>8</v>
      </c>
      <c r="D21" s="141"/>
      <c r="E21" s="18"/>
      <c r="F21" s="334"/>
      <c r="G21" s="18"/>
      <c r="H21" s="369" t="s">
        <v>336</v>
      </c>
      <c r="I21" s="18">
        <v>7</v>
      </c>
      <c r="J21" s="132"/>
      <c r="K21" s="314"/>
      <c r="L21" s="268"/>
      <c r="M21" s="18"/>
      <c r="N21" s="18" t="s">
        <v>17</v>
      </c>
      <c r="O21" s="18"/>
      <c r="P21" s="3">
        <f t="shared" si="0"/>
        <v>15</v>
      </c>
      <c r="R21" s="299"/>
      <c r="S21" s="299"/>
      <c r="T21" s="299"/>
      <c r="U21" s="299"/>
      <c r="V21" s="300"/>
    </row>
    <row r="22" spans="1:22">
      <c r="A22" s="52" t="s">
        <v>95</v>
      </c>
      <c r="B22" s="3"/>
      <c r="C22" s="3">
        <f>SUM(C8:C13)</f>
        <v>22.5</v>
      </c>
      <c r="D22" s="3"/>
      <c r="E22" s="3">
        <f>SUM(E7:E21)</f>
        <v>48.5</v>
      </c>
      <c r="F22" s="3"/>
      <c r="G22" s="3">
        <f>SUM(G7:G21)</f>
        <v>62.5</v>
      </c>
      <c r="H22" s="3"/>
      <c r="I22" s="3">
        <f>SUM(I7:I21)</f>
        <v>66.5</v>
      </c>
      <c r="J22" s="3"/>
      <c r="K22" s="3">
        <f>SUM(K7:K21)</f>
        <v>47</v>
      </c>
      <c r="L22" s="3"/>
      <c r="M22" s="3">
        <f>SUM(M7:M21)</f>
        <v>44</v>
      </c>
      <c r="N22" s="3"/>
      <c r="O22" s="3">
        <f>SUM(O7:O21)</f>
        <v>0</v>
      </c>
      <c r="P22" s="3">
        <f t="shared" si="0"/>
        <v>291</v>
      </c>
      <c r="R22" s="121"/>
      <c r="S22" s="121"/>
      <c r="T22" s="121"/>
      <c r="U22" s="121"/>
    </row>
    <row r="23" spans="1:22">
      <c r="C23">
        <f>C22*20</f>
        <v>450</v>
      </c>
      <c r="G23">
        <f>G22*20</f>
        <v>1250</v>
      </c>
      <c r="I23">
        <f>I22*20</f>
        <v>1330</v>
      </c>
      <c r="K23">
        <f>K22*20</f>
        <v>940</v>
      </c>
      <c r="M23">
        <f>M22*20</f>
        <v>880</v>
      </c>
      <c r="R23" s="121"/>
      <c r="S23" s="121"/>
      <c r="T23" s="121"/>
      <c r="U23" s="121"/>
    </row>
    <row r="24" spans="1:22">
      <c r="R24" s="121"/>
      <c r="S24" s="121"/>
      <c r="T24" s="121"/>
      <c r="U24" s="121"/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367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3.75" customHeight="1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Q32">
        <f>P22*20</f>
        <v>5820</v>
      </c>
    </row>
    <row r="33" spans="1:22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22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22" ht="15" customHeight="1">
      <c r="T36" t="s">
        <v>110</v>
      </c>
    </row>
    <row r="37" spans="1:22" ht="18.75" customHeight="1"/>
    <row r="39" spans="1:22">
      <c r="R39" s="351"/>
      <c r="S39" s="351" t="s">
        <v>0</v>
      </c>
      <c r="T39" s="351" t="s">
        <v>2</v>
      </c>
      <c r="U39" s="351" t="s">
        <v>3</v>
      </c>
      <c r="V39" s="351" t="s">
        <v>4</v>
      </c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3E93-9D39-45B5-A9E0-C8E5DFD9EA2B}">
  <sheetPr>
    <tabColor theme="9"/>
  </sheetPr>
  <dimension ref="A1:V39"/>
  <sheetViews>
    <sheetView zoomScaleNormal="100" zoomScaleSheetLayoutView="100" workbookViewId="0">
      <selection activeCell="L10" sqref="L10"/>
    </sheetView>
  </sheetViews>
  <sheetFormatPr defaultRowHeight="14.45"/>
  <cols>
    <col min="1" max="1" width="26.28515625" customWidth="1"/>
    <col min="2" max="2" width="17.42578125" customWidth="1"/>
    <col min="3" max="3" width="6.7109375" bestFit="1" customWidth="1"/>
    <col min="4" max="4" width="20" customWidth="1"/>
    <col min="5" max="5" width="4.710937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21.710937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46160</v>
      </c>
      <c r="C2" s="6"/>
      <c r="D2" s="5">
        <v>46161</v>
      </c>
      <c r="E2" s="6"/>
      <c r="F2" s="5">
        <v>46162</v>
      </c>
      <c r="G2" s="6"/>
      <c r="H2" s="5">
        <v>46163</v>
      </c>
      <c r="I2" s="6"/>
      <c r="J2" s="5">
        <v>46164</v>
      </c>
      <c r="K2" s="6"/>
      <c r="L2" s="5">
        <v>46165</v>
      </c>
      <c r="M2" s="6"/>
      <c r="N2" s="5">
        <v>46166</v>
      </c>
      <c r="O2" s="7"/>
      <c r="P2" s="3"/>
    </row>
    <row r="3" spans="1:22" ht="107.25" customHeight="1">
      <c r="A3" s="8" t="s">
        <v>9</v>
      </c>
      <c r="B3" s="62"/>
      <c r="C3" s="10"/>
      <c r="D3" s="62" t="s">
        <v>337</v>
      </c>
      <c r="E3" s="10"/>
      <c r="F3" s="62" t="s">
        <v>338</v>
      </c>
      <c r="G3" s="11"/>
      <c r="H3" s="62"/>
      <c r="I3" s="10"/>
      <c r="J3" s="62"/>
      <c r="K3" s="10"/>
      <c r="L3" s="62"/>
      <c r="M3" s="13"/>
      <c r="N3" s="62"/>
      <c r="O3" s="15"/>
      <c r="P3" s="3"/>
    </row>
    <row r="4" spans="1:22">
      <c r="A4" s="82" t="s">
        <v>14</v>
      </c>
      <c r="B4" s="18" t="s">
        <v>339</v>
      </c>
      <c r="C4" s="18">
        <v>8</v>
      </c>
      <c r="D4" s="18" t="s">
        <v>340</v>
      </c>
      <c r="E4" s="18">
        <v>11.5</v>
      </c>
      <c r="F4" s="18" t="s">
        <v>341</v>
      </c>
      <c r="G4" s="18">
        <v>8</v>
      </c>
      <c r="H4" s="18" t="s">
        <v>342</v>
      </c>
      <c r="I4" s="18">
        <v>12</v>
      </c>
      <c r="J4" s="18" t="s">
        <v>343</v>
      </c>
      <c r="K4" s="18">
        <v>7</v>
      </c>
      <c r="L4" s="289"/>
      <c r="M4" s="18"/>
      <c r="N4" s="18" t="s">
        <v>17</v>
      </c>
      <c r="O4" s="18"/>
      <c r="P4" s="3">
        <f t="shared" ref="P4:P18" si="0">SUM(O4,M4,K4,I4,G4,E4,C4)</f>
        <v>46.5</v>
      </c>
    </row>
    <row r="5" spans="1:22">
      <c r="A5" s="45" t="s">
        <v>18</v>
      </c>
      <c r="B5" s="18" t="s">
        <v>339</v>
      </c>
      <c r="C5" s="18">
        <v>8</v>
      </c>
      <c r="D5" s="18" t="s">
        <v>344</v>
      </c>
      <c r="E5" s="18">
        <v>8.5</v>
      </c>
      <c r="F5" s="18" t="s">
        <v>344</v>
      </c>
      <c r="G5" s="18">
        <v>8.5</v>
      </c>
      <c r="H5" s="18" t="s">
        <v>15</v>
      </c>
      <c r="I5" s="18">
        <v>8</v>
      </c>
      <c r="J5" s="18" t="s">
        <v>345</v>
      </c>
      <c r="K5" s="18">
        <v>7</v>
      </c>
      <c r="L5" s="289"/>
      <c r="M5" s="18"/>
      <c r="N5" s="18" t="s">
        <v>17</v>
      </c>
      <c r="O5" s="18"/>
      <c r="P5" s="3">
        <f t="shared" si="0"/>
        <v>40</v>
      </c>
    </row>
    <row r="6" spans="1:22" ht="28.9">
      <c r="A6" s="350" t="s">
        <v>20</v>
      </c>
      <c r="B6" s="45" t="s">
        <v>339</v>
      </c>
      <c r="C6" s="48"/>
      <c r="D6" s="45" t="s">
        <v>346</v>
      </c>
      <c r="E6" s="48">
        <v>8.5</v>
      </c>
      <c r="F6" s="45" t="s">
        <v>347</v>
      </c>
      <c r="G6" s="48">
        <v>8.5</v>
      </c>
      <c r="H6" s="45" t="s">
        <v>348</v>
      </c>
      <c r="I6" s="48">
        <v>7.5</v>
      </c>
      <c r="J6" s="45" t="s">
        <v>349</v>
      </c>
      <c r="K6" s="48">
        <v>5.5</v>
      </c>
      <c r="L6" s="301"/>
      <c r="M6" s="48"/>
      <c r="N6" s="18"/>
      <c r="O6" s="18"/>
      <c r="P6" s="3">
        <f t="shared" si="0"/>
        <v>30</v>
      </c>
    </row>
    <row r="7" spans="1:22" ht="57.6">
      <c r="A7" s="163" t="s">
        <v>214</v>
      </c>
      <c r="B7" s="301" t="s">
        <v>339</v>
      </c>
      <c r="C7" s="314"/>
      <c r="D7" s="153" t="s">
        <v>350</v>
      </c>
      <c r="E7" s="314">
        <v>6.5</v>
      </c>
      <c r="F7" s="325"/>
      <c r="G7" s="314"/>
      <c r="H7" s="334" t="s">
        <v>351</v>
      </c>
      <c r="I7" s="314">
        <v>3.5</v>
      </c>
      <c r="J7" s="328" t="s">
        <v>352</v>
      </c>
      <c r="K7" s="314">
        <v>7</v>
      </c>
      <c r="L7" s="301" t="s">
        <v>353</v>
      </c>
      <c r="M7" s="48">
        <v>7</v>
      </c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 ht="28.9">
      <c r="A8" s="163" t="s">
        <v>34</v>
      </c>
      <c r="B8" s="56" t="s">
        <v>17</v>
      </c>
      <c r="C8" s="314"/>
      <c r="D8" s="48" t="s">
        <v>354</v>
      </c>
      <c r="E8" s="314">
        <v>10</v>
      </c>
      <c r="F8" s="327" t="s">
        <v>355</v>
      </c>
      <c r="G8" s="314">
        <v>7</v>
      </c>
      <c r="H8" s="327" t="s">
        <v>356</v>
      </c>
      <c r="I8" s="314">
        <v>7</v>
      </c>
      <c r="J8" s="56"/>
      <c r="K8" s="314"/>
      <c r="L8" s="69"/>
      <c r="M8" s="47"/>
      <c r="N8" s="18" t="s">
        <v>17</v>
      </c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2" ht="28.9">
      <c r="A9" s="45" t="s">
        <v>40</v>
      </c>
      <c r="B9" s="329" t="s">
        <v>17</v>
      </c>
      <c r="C9" s="314"/>
      <c r="D9" s="45" t="s">
        <v>357</v>
      </c>
      <c r="E9" s="314">
        <v>5</v>
      </c>
      <c r="F9" s="352" t="s">
        <v>358</v>
      </c>
      <c r="G9" s="314">
        <v>9</v>
      </c>
      <c r="H9" s="45" t="s">
        <v>359</v>
      </c>
      <c r="I9" s="314">
        <v>5</v>
      </c>
      <c r="J9" s="135" t="s">
        <v>360</v>
      </c>
      <c r="K9" s="314">
        <v>5</v>
      </c>
      <c r="L9" s="69"/>
      <c r="M9" s="48"/>
      <c r="N9" s="18" t="s">
        <v>17</v>
      </c>
      <c r="O9" s="18"/>
      <c r="P9" s="3">
        <f t="shared" si="0"/>
        <v>24</v>
      </c>
      <c r="R9" s="121"/>
      <c r="S9" s="121"/>
      <c r="T9" s="260"/>
      <c r="U9" s="121" t="s">
        <v>45</v>
      </c>
    </row>
    <row r="10" spans="1:22" ht="31.15">
      <c r="A10" s="163" t="s">
        <v>228</v>
      </c>
      <c r="B10" s="330" t="s">
        <v>17</v>
      </c>
      <c r="C10" s="314"/>
      <c r="D10" s="353" t="s">
        <v>361</v>
      </c>
      <c r="E10" s="314">
        <v>4</v>
      </c>
      <c r="F10" s="325" t="s">
        <v>362</v>
      </c>
      <c r="G10" s="314">
        <v>6</v>
      </c>
      <c r="H10" s="38"/>
      <c r="I10" s="314"/>
      <c r="J10" s="353" t="s">
        <v>361</v>
      </c>
      <c r="K10" s="314">
        <v>3.5</v>
      </c>
      <c r="L10" s="325" t="s">
        <v>363</v>
      </c>
      <c r="M10" s="314">
        <v>10</v>
      </c>
      <c r="N10" s="18" t="s">
        <v>17</v>
      </c>
      <c r="O10" s="18"/>
      <c r="P10" s="3">
        <f t="shared" si="0"/>
        <v>23.5</v>
      </c>
      <c r="R10" s="121"/>
      <c r="S10" s="121"/>
      <c r="T10" s="121"/>
      <c r="U10" s="121" t="s">
        <v>50</v>
      </c>
    </row>
    <row r="11" spans="1:22" ht="28.9">
      <c r="A11" s="60" t="s">
        <v>229</v>
      </c>
      <c r="B11" s="329" t="s">
        <v>17</v>
      </c>
      <c r="C11" s="314"/>
      <c r="D11" s="133" t="s">
        <v>364</v>
      </c>
      <c r="E11" s="314">
        <v>4</v>
      </c>
      <c r="F11" s="329" t="s">
        <v>365</v>
      </c>
      <c r="G11" s="314">
        <v>5</v>
      </c>
      <c r="H11" s="329" t="s">
        <v>366</v>
      </c>
      <c r="I11" s="314">
        <v>7.5</v>
      </c>
      <c r="J11" s="347" t="s">
        <v>221</v>
      </c>
      <c r="K11" s="314">
        <v>6.5</v>
      </c>
      <c r="L11" s="329"/>
      <c r="M11" s="314"/>
      <c r="N11" s="18" t="s">
        <v>17</v>
      </c>
      <c r="O11" s="18"/>
      <c r="P11" s="3">
        <f t="shared" si="0"/>
        <v>23</v>
      </c>
      <c r="R11" s="121"/>
      <c r="S11" s="121"/>
      <c r="T11" s="121"/>
      <c r="U11" s="121" t="s">
        <v>55</v>
      </c>
    </row>
    <row r="12" spans="1:22" ht="28.9">
      <c r="A12" s="163" t="s">
        <v>234</v>
      </c>
      <c r="B12" s="90" t="s">
        <v>17</v>
      </c>
      <c r="C12" s="314"/>
      <c r="D12" s="273"/>
      <c r="E12" s="314"/>
      <c r="F12" s="301" t="s">
        <v>367</v>
      </c>
      <c r="G12" s="314">
        <v>4</v>
      </c>
      <c r="H12" s="129" t="s">
        <v>368</v>
      </c>
      <c r="I12" s="314">
        <v>4.5</v>
      </c>
      <c r="J12" s="297" t="s">
        <v>369</v>
      </c>
      <c r="K12" s="314">
        <v>7</v>
      </c>
      <c r="L12" s="56" t="s">
        <v>160</v>
      </c>
      <c r="M12" s="314">
        <v>8.5</v>
      </c>
      <c r="N12" s="18" t="s">
        <v>17</v>
      </c>
      <c r="O12" s="18"/>
      <c r="P12" s="3">
        <f t="shared" si="0"/>
        <v>24</v>
      </c>
      <c r="R12" s="121"/>
      <c r="S12" s="121"/>
      <c r="T12" s="121"/>
      <c r="U12" s="121" t="s">
        <v>58</v>
      </c>
    </row>
    <row r="13" spans="1:22" ht="43.15">
      <c r="A13" s="60" t="s">
        <v>235</v>
      </c>
      <c r="B13" s="60" t="s">
        <v>17</v>
      </c>
      <c r="C13" s="48"/>
      <c r="D13" s="60" t="s">
        <v>370</v>
      </c>
      <c r="E13" s="48">
        <v>9</v>
      </c>
      <c r="F13" s="60" t="s">
        <v>371</v>
      </c>
      <c r="G13" s="48">
        <v>7</v>
      </c>
      <c r="H13" s="38"/>
      <c r="I13" s="314"/>
      <c r="J13" s="329"/>
      <c r="K13" s="48"/>
      <c r="L13" s="329" t="s">
        <v>372</v>
      </c>
      <c r="M13" s="314">
        <v>8</v>
      </c>
      <c r="N13" s="18" t="s">
        <v>17</v>
      </c>
      <c r="O13" s="18"/>
      <c r="P13" s="3">
        <f t="shared" si="0"/>
        <v>24</v>
      </c>
      <c r="R13" s="121"/>
      <c r="S13" s="121"/>
      <c r="T13" s="121"/>
      <c r="U13" s="121"/>
    </row>
    <row r="14" spans="1:22">
      <c r="A14" s="101" t="s">
        <v>240</v>
      </c>
      <c r="B14" s="324" t="s">
        <v>17</v>
      </c>
      <c r="C14" s="314"/>
      <c r="D14" s="273"/>
      <c r="E14" s="314"/>
      <c r="F14" s="324" t="s">
        <v>373</v>
      </c>
      <c r="G14" s="314">
        <v>7.5</v>
      </c>
      <c r="H14" s="324" t="s">
        <v>374</v>
      </c>
      <c r="I14" s="314">
        <v>7.5</v>
      </c>
      <c r="J14" s="331" t="s">
        <v>375</v>
      </c>
      <c r="K14" s="314">
        <v>7.5</v>
      </c>
      <c r="L14" s="69"/>
      <c r="M14" s="48"/>
      <c r="N14" s="18" t="s">
        <v>17</v>
      </c>
      <c r="O14" s="18"/>
      <c r="P14" s="3">
        <f t="shared" si="0"/>
        <v>22.5</v>
      </c>
      <c r="R14" s="121"/>
      <c r="S14" s="121"/>
      <c r="T14" s="121"/>
      <c r="U14" s="121"/>
    </row>
    <row r="15" spans="1:22" ht="28.9">
      <c r="A15" s="101" t="s">
        <v>376</v>
      </c>
      <c r="B15" s="349" t="s">
        <v>17</v>
      </c>
      <c r="C15" s="314"/>
      <c r="D15" s="329" t="s">
        <v>377</v>
      </c>
      <c r="E15" s="314">
        <v>6.5</v>
      </c>
      <c r="F15" s="301"/>
      <c r="G15" s="314"/>
      <c r="H15" s="301" t="s">
        <v>378</v>
      </c>
      <c r="I15" s="314">
        <v>4.5</v>
      </c>
      <c r="J15" s="329" t="s">
        <v>379</v>
      </c>
      <c r="K15" s="314">
        <v>6.5</v>
      </c>
      <c r="L15" s="324" t="s">
        <v>380</v>
      </c>
      <c r="M15" s="48">
        <v>6.5</v>
      </c>
      <c r="N15" s="18" t="s">
        <v>17</v>
      </c>
      <c r="O15" s="18"/>
      <c r="P15" s="3">
        <f t="shared" si="0"/>
        <v>24</v>
      </c>
      <c r="R15" s="121"/>
      <c r="S15" s="121"/>
      <c r="T15" s="121"/>
      <c r="U15" s="121"/>
    </row>
    <row r="16" spans="1:22" ht="18">
      <c r="A16" s="128" t="s">
        <v>69</v>
      </c>
      <c r="B16" s="69"/>
      <c r="C16" s="314"/>
      <c r="D16" s="153"/>
      <c r="E16" s="314"/>
      <c r="F16" s="153" t="s">
        <v>381</v>
      </c>
      <c r="G16" s="314">
        <v>8</v>
      </c>
      <c r="H16" s="153" t="s">
        <v>382</v>
      </c>
      <c r="I16" s="314">
        <v>9.5</v>
      </c>
      <c r="J16" s="69"/>
      <c r="K16" s="314"/>
      <c r="L16" s="153" t="s">
        <v>383</v>
      </c>
      <c r="M16" s="314">
        <v>6.5</v>
      </c>
      <c r="N16" s="18" t="s">
        <v>17</v>
      </c>
      <c r="O16" s="18"/>
      <c r="P16" s="3">
        <f t="shared" si="0"/>
        <v>24</v>
      </c>
      <c r="R16" s="299" t="s">
        <v>74</v>
      </c>
      <c r="S16" s="299"/>
      <c r="T16" s="299" t="s">
        <v>75</v>
      </c>
      <c r="U16" s="299"/>
      <c r="V16" s="300"/>
    </row>
    <row r="17" spans="1:22" ht="18">
      <c r="A17" s="128" t="s">
        <v>76</v>
      </c>
      <c r="B17" s="314" t="s">
        <v>17</v>
      </c>
      <c r="C17" s="314"/>
      <c r="D17" s="314"/>
      <c r="E17" s="314"/>
      <c r="F17" s="314"/>
      <c r="G17" s="314"/>
      <c r="H17" s="314"/>
      <c r="I17" s="314"/>
      <c r="J17" s="314"/>
      <c r="K17" s="48"/>
      <c r="L17" s="301"/>
      <c r="M17" s="48"/>
      <c r="N17" s="18" t="s">
        <v>17</v>
      </c>
      <c r="O17" s="18"/>
      <c r="P17" s="3">
        <f t="shared" si="0"/>
        <v>0</v>
      </c>
      <c r="R17" s="299"/>
      <c r="S17" s="299"/>
      <c r="T17" s="299"/>
      <c r="U17" s="299"/>
      <c r="V17" s="300"/>
    </row>
    <row r="18" spans="1:22" ht="43.9">
      <c r="A18" s="128" t="s">
        <v>257</v>
      </c>
      <c r="B18" s="303" t="s">
        <v>17</v>
      </c>
      <c r="C18" s="18"/>
      <c r="D18" s="60" t="s">
        <v>384</v>
      </c>
      <c r="E18" s="18">
        <v>8.5</v>
      </c>
      <c r="F18" s="85" t="s">
        <v>385</v>
      </c>
      <c r="G18" s="18">
        <v>8</v>
      </c>
      <c r="H18" s="355" t="s">
        <v>386</v>
      </c>
      <c r="I18" s="18">
        <v>3.5</v>
      </c>
      <c r="J18" s="45" t="s">
        <v>387</v>
      </c>
      <c r="K18" s="48">
        <v>4</v>
      </c>
      <c r="L18" s="69"/>
      <c r="M18" s="48"/>
      <c r="N18" s="18" t="s">
        <v>17</v>
      </c>
      <c r="O18" s="18"/>
      <c r="P18" s="3">
        <f t="shared" si="0"/>
        <v>24</v>
      </c>
      <c r="R18" s="299"/>
      <c r="S18" s="299"/>
      <c r="T18" s="299"/>
      <c r="U18" s="299"/>
      <c r="V18" s="300"/>
    </row>
    <row r="19" spans="1:22" ht="18">
      <c r="A19" s="316" t="s">
        <v>262</v>
      </c>
      <c r="B19" s="314" t="s">
        <v>17</v>
      </c>
      <c r="C19" s="314"/>
      <c r="D19" s="329"/>
      <c r="E19" s="314"/>
      <c r="F19" s="301"/>
      <c r="G19" s="314"/>
      <c r="H19" s="301"/>
      <c r="I19" s="314"/>
      <c r="J19" s="326"/>
      <c r="K19" s="314"/>
      <c r="L19" s="301"/>
      <c r="M19" s="314"/>
      <c r="N19" s="18"/>
      <c r="O19" s="18"/>
      <c r="P19" s="3"/>
      <c r="R19" s="299"/>
      <c r="S19" s="299"/>
      <c r="T19" s="299"/>
      <c r="U19" s="299"/>
      <c r="V19" s="300"/>
    </row>
    <row r="20" spans="1:22" ht="18">
      <c r="A20" s="45" t="s">
        <v>388</v>
      </c>
      <c r="B20" s="82" t="s">
        <v>17</v>
      </c>
      <c r="C20" s="18"/>
      <c r="D20" s="334" t="s">
        <v>389</v>
      </c>
      <c r="E20" s="18">
        <v>5</v>
      </c>
      <c r="F20" s="82"/>
      <c r="G20" s="18"/>
      <c r="H20" s="356" t="s">
        <v>390</v>
      </c>
      <c r="I20" s="18">
        <v>5</v>
      </c>
      <c r="J20" s="358" t="s">
        <v>391</v>
      </c>
      <c r="K20" s="48"/>
      <c r="L20" s="321" t="s">
        <v>392</v>
      </c>
      <c r="M20" s="18">
        <v>5</v>
      </c>
      <c r="N20" s="18" t="s">
        <v>17</v>
      </c>
      <c r="O20" s="18"/>
      <c r="P20" s="3">
        <f>SUM(O20,M20,K20,I20,G20,E20,C20)</f>
        <v>15</v>
      </c>
      <c r="R20" s="299"/>
      <c r="S20" s="299"/>
      <c r="T20" s="299"/>
      <c r="U20" s="299"/>
      <c r="V20" s="300"/>
    </row>
    <row r="21" spans="1:22" ht="29.45" customHeight="1">
      <c r="A21" s="45" t="s">
        <v>393</v>
      </c>
      <c r="B21" s="321" t="s">
        <v>17</v>
      </c>
      <c r="C21" s="18"/>
      <c r="D21" s="82"/>
      <c r="E21" s="18"/>
      <c r="F21" s="50" t="s">
        <v>394</v>
      </c>
      <c r="G21" s="18">
        <v>8.5</v>
      </c>
      <c r="H21" s="357"/>
      <c r="I21" s="18"/>
      <c r="K21" s="314">
        <v>6.5</v>
      </c>
      <c r="L21" s="268"/>
      <c r="M21" s="18"/>
      <c r="N21" s="18" t="s">
        <v>17</v>
      </c>
      <c r="O21" s="18"/>
      <c r="P21" s="3">
        <f>SUM(O21,M21,K21,I21,G21,E21,C21)</f>
        <v>15</v>
      </c>
      <c r="R21" s="299"/>
      <c r="S21" s="299"/>
      <c r="T21" s="299"/>
      <c r="U21" s="299"/>
      <c r="V21" s="300"/>
    </row>
    <row r="22" spans="1:22">
      <c r="A22" s="52" t="s">
        <v>95</v>
      </c>
      <c r="B22" s="3"/>
      <c r="C22" s="3">
        <f>SUM(C8:C13)</f>
        <v>0</v>
      </c>
      <c r="D22" s="3"/>
      <c r="E22" s="3">
        <f>SUM(E7:E21)</f>
        <v>58.5</v>
      </c>
      <c r="F22" s="3"/>
      <c r="G22" s="3">
        <f>SUM(G7:G21)</f>
        <v>70</v>
      </c>
      <c r="H22" s="3"/>
      <c r="I22" s="3">
        <f>SUM(I7:I21)</f>
        <v>57.5</v>
      </c>
      <c r="J22" s="3"/>
      <c r="K22" s="3">
        <f>SUM(K7:K21)</f>
        <v>53.5</v>
      </c>
      <c r="L22" s="3"/>
      <c r="M22" s="3">
        <f>SUM(M7:M21)</f>
        <v>51.5</v>
      </c>
      <c r="N22" s="3"/>
      <c r="O22" s="3">
        <f>SUM(O7:O21)</f>
        <v>0</v>
      </c>
      <c r="P22" s="3">
        <f>SUM(O22,M22,K22,I22,G22,E22,C22)</f>
        <v>291</v>
      </c>
      <c r="R22" s="121"/>
      <c r="S22" s="121"/>
      <c r="T22" s="121"/>
      <c r="U22" s="121"/>
    </row>
    <row r="23" spans="1:22">
      <c r="C23">
        <f>C22*20</f>
        <v>0</v>
      </c>
      <c r="G23">
        <f>G22*20</f>
        <v>1400</v>
      </c>
      <c r="I23">
        <f>I22*20</f>
        <v>1150</v>
      </c>
      <c r="K23">
        <f>K22*20</f>
        <v>1070</v>
      </c>
      <c r="M23">
        <f>M22*20</f>
        <v>1030</v>
      </c>
      <c r="R23" s="121"/>
      <c r="S23" s="121"/>
      <c r="T23" s="121"/>
      <c r="U23" s="121"/>
    </row>
    <row r="24" spans="1:22">
      <c r="R24" s="121"/>
      <c r="S24" s="121"/>
      <c r="T24" s="121"/>
      <c r="U24" s="121"/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3.75" customHeight="1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Q32">
        <f>P22*20</f>
        <v>5820</v>
      </c>
    </row>
    <row r="33" spans="1:22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22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22" ht="15" customHeight="1">
      <c r="T36" t="s">
        <v>110</v>
      </c>
    </row>
    <row r="37" spans="1:22" ht="18.75" customHeight="1"/>
    <row r="39" spans="1:22">
      <c r="R39" s="351"/>
      <c r="S39" s="351" t="s">
        <v>0</v>
      </c>
      <c r="T39" s="351" t="s">
        <v>2</v>
      </c>
      <c r="U39" s="351" t="s">
        <v>3</v>
      </c>
      <c r="V39" s="351" t="s">
        <v>4</v>
      </c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EE7F-6538-4597-BBDD-94F61440719C}">
  <sheetPr>
    <tabColor theme="9"/>
  </sheetPr>
  <dimension ref="A1:V36"/>
  <sheetViews>
    <sheetView topLeftCell="A3" zoomScale="70" zoomScaleNormal="70" workbookViewId="0">
      <selection activeCell="K4" sqref="K4"/>
    </sheetView>
  </sheetViews>
  <sheetFormatPr defaultRowHeight="14.45"/>
  <cols>
    <col min="1" max="1" width="26.28515625" customWidth="1"/>
    <col min="2" max="2" width="17.42578125" customWidth="1"/>
    <col min="3" max="3" width="6.7109375" bestFit="1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46153</v>
      </c>
      <c r="C2" s="6"/>
      <c r="D2" s="5">
        <v>46154</v>
      </c>
      <c r="E2" s="6"/>
      <c r="F2" s="5">
        <v>46155</v>
      </c>
      <c r="G2" s="6"/>
      <c r="H2" s="5">
        <v>46156</v>
      </c>
      <c r="I2" s="6"/>
      <c r="J2" s="5">
        <v>46157</v>
      </c>
      <c r="K2" s="6"/>
      <c r="L2" s="5">
        <v>46158</v>
      </c>
      <c r="M2" s="6"/>
      <c r="N2" s="5">
        <v>46159</v>
      </c>
      <c r="O2" s="7"/>
      <c r="P2" s="3"/>
    </row>
    <row r="3" spans="1:22" ht="63" customHeight="1">
      <c r="A3" s="8" t="s">
        <v>9</v>
      </c>
      <c r="B3" s="62" t="s">
        <v>395</v>
      </c>
      <c r="C3" s="10"/>
      <c r="D3" s="62" t="s">
        <v>396</v>
      </c>
      <c r="E3" s="10"/>
      <c r="F3" s="62"/>
      <c r="G3" s="11"/>
      <c r="H3" s="62" t="s">
        <v>397</v>
      </c>
      <c r="I3" s="10"/>
      <c r="J3" s="62" t="s">
        <v>398</v>
      </c>
      <c r="K3" s="10"/>
      <c r="L3" s="62"/>
      <c r="M3" s="13"/>
      <c r="N3" s="62"/>
      <c r="O3" s="15"/>
      <c r="P3" s="3"/>
    </row>
    <row r="4" spans="1:22" ht="28.9">
      <c r="A4" s="82" t="s">
        <v>14</v>
      </c>
      <c r="B4" s="18" t="s">
        <v>399</v>
      </c>
      <c r="C4" s="18">
        <v>12.5</v>
      </c>
      <c r="D4" s="18" t="s">
        <v>344</v>
      </c>
      <c r="E4" s="18">
        <v>8.5</v>
      </c>
      <c r="F4" s="18" t="s">
        <v>400</v>
      </c>
      <c r="G4" s="18">
        <v>9.5</v>
      </c>
      <c r="H4" s="18" t="s">
        <v>401</v>
      </c>
      <c r="I4" s="18">
        <v>11</v>
      </c>
      <c r="J4" s="18" t="s">
        <v>402</v>
      </c>
      <c r="K4" s="18">
        <v>9</v>
      </c>
      <c r="L4" s="289"/>
      <c r="M4" s="18"/>
      <c r="N4" s="18" t="s">
        <v>17</v>
      </c>
      <c r="O4" s="18"/>
      <c r="P4" s="3">
        <f t="shared" ref="P4:P21" si="0">SUM(O4,M4,K4,I4,G4,E4,C4)</f>
        <v>50.5</v>
      </c>
    </row>
    <row r="5" spans="1:22">
      <c r="A5" s="45" t="s">
        <v>18</v>
      </c>
      <c r="B5" s="18" t="s">
        <v>15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15</v>
      </c>
      <c r="I5" s="18">
        <v>8</v>
      </c>
      <c r="J5" s="18" t="s">
        <v>403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81" customHeight="1">
      <c r="A6" s="163" t="s">
        <v>214</v>
      </c>
      <c r="B6" s="301" t="s">
        <v>26</v>
      </c>
      <c r="C6" s="314"/>
      <c r="D6" s="301" t="s">
        <v>26</v>
      </c>
      <c r="E6" s="314"/>
      <c r="F6" s="325" t="s">
        <v>26</v>
      </c>
      <c r="G6" s="314"/>
      <c r="H6" s="334" t="s">
        <v>404</v>
      </c>
      <c r="I6" s="314">
        <v>7.5</v>
      </c>
      <c r="J6" s="328" t="s">
        <v>405</v>
      </c>
      <c r="K6" s="314">
        <v>5</v>
      </c>
      <c r="L6" s="60" t="s">
        <v>406</v>
      </c>
      <c r="M6" s="314">
        <v>8</v>
      </c>
      <c r="N6" s="18" t="s">
        <v>17</v>
      </c>
      <c r="O6" s="18"/>
      <c r="P6" s="3">
        <f>SUM(O6,M6,K6,I6,G6,E6,C6)</f>
        <v>20.5</v>
      </c>
      <c r="U6" s="56"/>
      <c r="V6" s="314"/>
    </row>
    <row r="7" spans="1:22" ht="30.6" customHeight="1">
      <c r="A7" s="163" t="s">
        <v>34</v>
      </c>
      <c r="B7" s="327"/>
      <c r="C7" s="314"/>
      <c r="D7" s="153" t="s">
        <v>407</v>
      </c>
      <c r="E7" s="314">
        <v>8</v>
      </c>
      <c r="F7" s="153" t="s">
        <v>408</v>
      </c>
      <c r="G7" s="314">
        <v>7.5</v>
      </c>
      <c r="H7" s="56" t="s">
        <v>409</v>
      </c>
      <c r="I7" s="314">
        <v>8.5</v>
      </c>
      <c r="J7" s="56"/>
      <c r="K7" s="314"/>
      <c r="L7" s="69"/>
      <c r="M7" s="47"/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 ht="28.9">
      <c r="A8" s="128" t="s">
        <v>69</v>
      </c>
      <c r="B8" s="69"/>
      <c r="C8" s="314"/>
      <c r="D8" s="153"/>
      <c r="E8" s="314"/>
      <c r="F8" s="153" t="s">
        <v>410</v>
      </c>
      <c r="G8" s="314">
        <v>6.5</v>
      </c>
      <c r="H8" s="153" t="s">
        <v>411</v>
      </c>
      <c r="I8" s="314">
        <v>9.5</v>
      </c>
      <c r="J8" s="69"/>
      <c r="K8" s="314"/>
      <c r="L8" s="153" t="s">
        <v>383</v>
      </c>
      <c r="M8" s="314">
        <v>6.5</v>
      </c>
      <c r="N8" s="18" t="s">
        <v>17</v>
      </c>
      <c r="O8" s="18"/>
      <c r="P8" s="3">
        <f t="shared" si="0"/>
        <v>22.5</v>
      </c>
      <c r="R8" s="121"/>
      <c r="S8" s="121"/>
      <c r="T8" s="260"/>
      <c r="U8" s="121" t="s">
        <v>39</v>
      </c>
    </row>
    <row r="9" spans="1:22">
      <c r="A9" s="128" t="s">
        <v>76</v>
      </c>
      <c r="B9" s="314" t="s">
        <v>26</v>
      </c>
      <c r="C9" s="314"/>
      <c r="D9" s="314" t="s">
        <v>26</v>
      </c>
      <c r="E9" s="314"/>
      <c r="F9" s="314" t="s">
        <v>26</v>
      </c>
      <c r="G9" s="314"/>
      <c r="H9" s="314" t="s">
        <v>26</v>
      </c>
      <c r="I9" s="314"/>
      <c r="J9" s="314" t="s">
        <v>26</v>
      </c>
      <c r="K9" s="48"/>
      <c r="L9" s="301" t="s">
        <v>26</v>
      </c>
      <c r="M9" s="48"/>
      <c r="N9" s="18" t="s">
        <v>17</v>
      </c>
      <c r="O9" s="18"/>
      <c r="P9" s="3">
        <f t="shared" si="0"/>
        <v>0</v>
      </c>
      <c r="R9" s="121"/>
      <c r="S9" s="121"/>
      <c r="T9" s="260"/>
      <c r="U9" s="121" t="s">
        <v>45</v>
      </c>
    </row>
    <row r="10" spans="1:22" ht="28.9">
      <c r="A10" s="45" t="s">
        <v>40</v>
      </c>
      <c r="B10" s="329" t="s">
        <v>412</v>
      </c>
      <c r="C10" s="314">
        <v>7</v>
      </c>
      <c r="D10" s="314" t="s">
        <v>413</v>
      </c>
      <c r="E10" s="314">
        <v>3</v>
      </c>
      <c r="F10" s="329"/>
      <c r="G10" s="314"/>
      <c r="H10" s="352" t="s">
        <v>160</v>
      </c>
      <c r="I10" s="314">
        <v>7.5</v>
      </c>
      <c r="J10" s="157" t="s">
        <v>414</v>
      </c>
      <c r="K10" s="314">
        <v>6.5</v>
      </c>
      <c r="L10" s="69"/>
      <c r="M10" s="48"/>
      <c r="N10" s="18" t="s">
        <v>17</v>
      </c>
      <c r="O10" s="18"/>
      <c r="P10" s="3">
        <f>SUM(O10,M10,K10,I10,G10,E10,C10)</f>
        <v>24</v>
      </c>
      <c r="R10" s="121"/>
      <c r="S10" s="121"/>
      <c r="T10" s="121"/>
      <c r="U10" s="121" t="s">
        <v>50</v>
      </c>
    </row>
    <row r="11" spans="1:22" ht="46.5" customHeight="1">
      <c r="A11" s="163" t="s">
        <v>228</v>
      </c>
      <c r="B11" s="330" t="s">
        <v>415</v>
      </c>
      <c r="C11" s="314">
        <v>4</v>
      </c>
      <c r="D11" s="353" t="s">
        <v>416</v>
      </c>
      <c r="E11" s="314">
        <v>5</v>
      </c>
      <c r="F11" s="330" t="s">
        <v>417</v>
      </c>
      <c r="G11" s="314">
        <v>4.5</v>
      </c>
      <c r="H11" s="330" t="s">
        <v>418</v>
      </c>
      <c r="I11" s="314">
        <v>5</v>
      </c>
      <c r="J11" s="330"/>
      <c r="K11" s="314"/>
      <c r="L11" s="329" t="s">
        <v>419</v>
      </c>
      <c r="M11" s="314">
        <v>5.5</v>
      </c>
      <c r="N11" s="18" t="s">
        <v>17</v>
      </c>
      <c r="O11" s="18"/>
      <c r="P11" s="3">
        <f>SUM(O11,M11,K11,I11,G11,E11,C11)</f>
        <v>24</v>
      </c>
      <c r="R11" s="121"/>
      <c r="S11" s="121"/>
      <c r="T11" s="121"/>
      <c r="U11" s="121" t="s">
        <v>55</v>
      </c>
    </row>
    <row r="12" spans="1:22" ht="28.9">
      <c r="A12" s="60" t="s">
        <v>229</v>
      </c>
      <c r="B12" s="329"/>
      <c r="C12" s="314"/>
      <c r="D12" s="155" t="s">
        <v>420</v>
      </c>
      <c r="E12" s="314">
        <v>3</v>
      </c>
      <c r="F12" s="329" t="s">
        <v>421</v>
      </c>
      <c r="G12" s="314">
        <v>7.5</v>
      </c>
      <c r="H12" s="329"/>
      <c r="I12" s="314"/>
      <c r="J12" s="347" t="s">
        <v>422</v>
      </c>
      <c r="K12" s="314">
        <v>6.5</v>
      </c>
      <c r="L12" s="329" t="s">
        <v>423</v>
      </c>
      <c r="M12" s="314">
        <v>7</v>
      </c>
      <c r="N12" s="18" t="s">
        <v>17</v>
      </c>
      <c r="O12" s="18"/>
      <c r="P12" s="3">
        <f t="shared" ref="P12:P13" si="1">SUM(O12,M12,K12,I12,G12,E12,C12)</f>
        <v>24</v>
      </c>
      <c r="R12" s="121"/>
      <c r="S12" s="121"/>
      <c r="T12" s="121"/>
      <c r="U12" s="121" t="s">
        <v>58</v>
      </c>
    </row>
    <row r="13" spans="1:22" ht="43.15">
      <c r="A13" s="163" t="s">
        <v>234</v>
      </c>
      <c r="B13" s="90" t="s">
        <v>424</v>
      </c>
      <c r="C13" s="314">
        <v>3.25</v>
      </c>
      <c r="D13" s="273"/>
      <c r="E13" s="314"/>
      <c r="F13" s="329" t="s">
        <v>425</v>
      </c>
      <c r="G13" s="314">
        <v>9.75</v>
      </c>
      <c r="H13" s="19" t="s">
        <v>426</v>
      </c>
      <c r="I13" s="314">
        <v>3.5</v>
      </c>
      <c r="J13" s="347" t="s">
        <v>427</v>
      </c>
      <c r="K13" s="314">
        <v>7.5</v>
      </c>
      <c r="L13" s="56"/>
      <c r="M13" s="314"/>
      <c r="N13" s="18" t="s">
        <v>17</v>
      </c>
      <c r="O13" s="18"/>
      <c r="P13" s="3">
        <f t="shared" si="1"/>
        <v>24</v>
      </c>
      <c r="R13" s="121"/>
      <c r="S13" s="121"/>
      <c r="T13" s="121"/>
      <c r="U13" s="121"/>
    </row>
    <row r="14" spans="1:22" ht="46.5" customHeight="1">
      <c r="A14" s="60" t="s">
        <v>235</v>
      </c>
      <c r="B14" s="60" t="s">
        <v>428</v>
      </c>
      <c r="C14" s="48">
        <v>7.5</v>
      </c>
      <c r="D14" s="60" t="s">
        <v>429</v>
      </c>
      <c r="E14" s="48">
        <v>7.5</v>
      </c>
      <c r="F14" s="329"/>
      <c r="G14" s="314"/>
      <c r="H14" s="38"/>
      <c r="I14" s="314"/>
      <c r="J14" s="329" t="s">
        <v>430</v>
      </c>
      <c r="K14" s="48">
        <v>9</v>
      </c>
      <c r="L14" s="329"/>
      <c r="M14" s="314"/>
      <c r="N14" s="18" t="s">
        <v>17</v>
      </c>
      <c r="O14" s="18"/>
      <c r="P14" s="3">
        <f t="shared" si="0"/>
        <v>24</v>
      </c>
      <c r="R14" s="121"/>
      <c r="S14" s="121"/>
      <c r="T14" s="121"/>
      <c r="U14" s="121"/>
    </row>
    <row r="15" spans="1:22" ht="43.15">
      <c r="A15" s="101" t="s">
        <v>240</v>
      </c>
      <c r="B15" s="324" t="s">
        <v>431</v>
      </c>
      <c r="C15" s="314">
        <v>7.5</v>
      </c>
      <c r="D15" s="273"/>
      <c r="E15" s="314"/>
      <c r="F15" s="324"/>
      <c r="G15" s="314"/>
      <c r="H15" s="324" t="s">
        <v>432</v>
      </c>
      <c r="I15" s="314">
        <v>7.5</v>
      </c>
      <c r="J15" s="324" t="s">
        <v>433</v>
      </c>
      <c r="K15" s="314">
        <v>7.5</v>
      </c>
      <c r="L15" s="69"/>
      <c r="M15" s="48"/>
      <c r="N15" s="18" t="s">
        <v>17</v>
      </c>
      <c r="O15" s="18"/>
      <c r="P15" s="3">
        <f t="shared" si="0"/>
        <v>22.5</v>
      </c>
      <c r="R15" s="121"/>
      <c r="S15" s="121"/>
      <c r="T15" s="121"/>
      <c r="U15" s="121"/>
    </row>
    <row r="16" spans="1:22" ht="29.45">
      <c r="A16" s="101" t="s">
        <v>244</v>
      </c>
      <c r="B16" s="349"/>
      <c r="C16" s="314"/>
      <c r="D16" s="349" t="s">
        <v>434</v>
      </c>
      <c r="E16" s="314">
        <v>7.5</v>
      </c>
      <c r="F16" s="349" t="s">
        <v>434</v>
      </c>
      <c r="G16" s="314">
        <v>7.5</v>
      </c>
      <c r="H16" s="301"/>
      <c r="I16" s="314"/>
      <c r="J16" s="324" t="s">
        <v>435</v>
      </c>
      <c r="K16" s="314">
        <v>5</v>
      </c>
      <c r="L16" s="354" t="s">
        <v>436</v>
      </c>
      <c r="M16" s="48">
        <v>4</v>
      </c>
      <c r="N16" s="18" t="s">
        <v>17</v>
      </c>
      <c r="O16" s="18"/>
      <c r="P16" s="3">
        <f t="shared" si="0"/>
        <v>24</v>
      </c>
      <c r="R16" s="299" t="s">
        <v>74</v>
      </c>
      <c r="S16" s="299"/>
      <c r="T16" s="299" t="s">
        <v>75</v>
      </c>
      <c r="U16" s="299"/>
      <c r="V16" s="300"/>
    </row>
    <row r="17" spans="1:22" ht="62.45" customHeight="1">
      <c r="A17" s="128" t="s">
        <v>257</v>
      </c>
      <c r="B17" s="303" t="s">
        <v>26</v>
      </c>
      <c r="C17" s="18"/>
      <c r="D17" s="50" t="s">
        <v>437</v>
      </c>
      <c r="E17" s="18">
        <v>7</v>
      </c>
      <c r="F17" s="85"/>
      <c r="G17" s="18"/>
      <c r="H17" s="355" t="s">
        <v>438</v>
      </c>
      <c r="I17" s="18">
        <v>5</v>
      </c>
      <c r="J17" s="82" t="s">
        <v>439</v>
      </c>
      <c r="K17" s="48">
        <v>7.5</v>
      </c>
      <c r="L17" s="69"/>
      <c r="M17" s="48"/>
      <c r="N17" s="18" t="s">
        <v>17</v>
      </c>
      <c r="O17" s="18"/>
      <c r="P17" s="3">
        <f t="shared" si="0"/>
        <v>19.5</v>
      </c>
      <c r="R17" s="299"/>
      <c r="S17" s="299"/>
      <c r="T17" s="299"/>
      <c r="U17" s="299"/>
      <c r="V17" s="300"/>
    </row>
    <row r="18" spans="1:22" ht="29.45">
      <c r="A18" s="128" t="s">
        <v>440</v>
      </c>
      <c r="B18" s="314" t="s">
        <v>441</v>
      </c>
      <c r="C18" s="314">
        <v>10</v>
      </c>
      <c r="D18" s="45" t="s">
        <v>442</v>
      </c>
      <c r="E18" s="314">
        <v>5.5</v>
      </c>
      <c r="F18" s="45"/>
      <c r="G18" s="314"/>
      <c r="H18" s="301" t="s">
        <v>443</v>
      </c>
      <c r="I18" s="314">
        <v>8.5</v>
      </c>
      <c r="J18" s="273"/>
      <c r="K18" s="314"/>
      <c r="L18" s="69"/>
      <c r="M18" s="48"/>
      <c r="N18" s="18" t="s">
        <v>17</v>
      </c>
      <c r="O18" s="18"/>
      <c r="P18" s="3">
        <f>SUM(O18,M18,K18,I18,G18,E18,C18)</f>
        <v>24</v>
      </c>
      <c r="R18" s="299"/>
      <c r="S18" s="299"/>
      <c r="T18" s="299"/>
      <c r="U18" s="299"/>
      <c r="V18" s="300"/>
    </row>
    <row r="19" spans="1:22" ht="43.15">
      <c r="A19" s="350" t="s">
        <v>20</v>
      </c>
      <c r="B19" s="45" t="s">
        <v>444</v>
      </c>
      <c r="C19" s="48">
        <v>6.5</v>
      </c>
      <c r="D19" s="45" t="s">
        <v>17</v>
      </c>
      <c r="E19" s="48"/>
      <c r="F19" s="45" t="s">
        <v>445</v>
      </c>
      <c r="G19" s="48">
        <v>8.5</v>
      </c>
      <c r="H19" s="50" t="s">
        <v>446</v>
      </c>
      <c r="I19" s="48">
        <v>7.5</v>
      </c>
      <c r="J19" s="101" t="s">
        <v>447</v>
      </c>
      <c r="K19" s="48">
        <v>7.5</v>
      </c>
      <c r="L19" s="301" t="s">
        <v>17</v>
      </c>
      <c r="M19" s="48"/>
      <c r="N19" s="18"/>
      <c r="O19" s="18"/>
      <c r="P19" s="3">
        <f t="shared" si="0"/>
        <v>30</v>
      </c>
      <c r="R19" s="121"/>
      <c r="S19" s="121"/>
      <c r="T19" s="121"/>
      <c r="U19" s="121"/>
    </row>
    <row r="20" spans="1:22">
      <c r="A20" s="45" t="s">
        <v>448</v>
      </c>
      <c r="B20" s="82"/>
      <c r="C20" s="18"/>
      <c r="D20" s="334"/>
      <c r="E20" s="18"/>
      <c r="F20" s="82"/>
      <c r="G20" s="18"/>
      <c r="H20" s="356" t="s">
        <v>449</v>
      </c>
      <c r="I20" s="18">
        <v>5</v>
      </c>
      <c r="J20" s="101" t="s">
        <v>435</v>
      </c>
      <c r="K20" s="48">
        <v>5</v>
      </c>
      <c r="L20" s="60" t="s">
        <v>450</v>
      </c>
      <c r="M20" s="314">
        <v>6</v>
      </c>
      <c r="N20" s="18" t="s">
        <v>17</v>
      </c>
      <c r="O20" s="18"/>
      <c r="P20" s="3">
        <f t="shared" si="0"/>
        <v>16</v>
      </c>
      <c r="R20" s="121"/>
      <c r="S20" s="121"/>
      <c r="T20" s="121"/>
      <c r="U20" s="121"/>
    </row>
    <row r="21" spans="1:22" ht="43.15">
      <c r="A21" s="45" t="s">
        <v>451</v>
      </c>
      <c r="B21" s="321" t="s">
        <v>452</v>
      </c>
      <c r="C21" s="18">
        <v>5</v>
      </c>
      <c r="D21" s="141"/>
      <c r="E21" s="18"/>
      <c r="F21" s="334"/>
      <c r="G21" s="18"/>
      <c r="H21" s="333" t="s">
        <v>453</v>
      </c>
      <c r="I21" s="18">
        <v>5</v>
      </c>
      <c r="J21" s="132" t="s">
        <v>435</v>
      </c>
      <c r="K21" s="314">
        <v>5</v>
      </c>
      <c r="L21" s="268"/>
      <c r="M21" s="18"/>
      <c r="N21" s="18" t="s">
        <v>17</v>
      </c>
      <c r="O21" s="18"/>
      <c r="P21" s="3">
        <f t="shared" si="0"/>
        <v>15</v>
      </c>
      <c r="R21" s="121"/>
      <c r="S21" s="121"/>
      <c r="T21" s="121"/>
      <c r="U21" s="121"/>
    </row>
    <row r="22" spans="1:22">
      <c r="A22" s="52" t="s">
        <v>95</v>
      </c>
      <c r="B22" s="3"/>
      <c r="C22" s="3">
        <f>SUM(C7:C14)</f>
        <v>21.75</v>
      </c>
      <c r="D22" s="3"/>
      <c r="E22" s="3">
        <f>SUM(E6:E21)</f>
        <v>46.5</v>
      </c>
      <c r="F22" s="3"/>
      <c r="G22" s="3">
        <f>SUM(G6:G21)</f>
        <v>51.75</v>
      </c>
      <c r="H22" s="3"/>
      <c r="I22" s="3">
        <f>SUM(I6:I21)</f>
        <v>80</v>
      </c>
      <c r="J22" s="3"/>
      <c r="K22" s="3">
        <f>SUM(K6:K21)</f>
        <v>72</v>
      </c>
      <c r="L22" s="3"/>
      <c r="M22" s="3">
        <f>SUM(M6:M21)</f>
        <v>37</v>
      </c>
      <c r="N22" s="3"/>
      <c r="O22" s="3">
        <f>SUM(O6:O21)</f>
        <v>0</v>
      </c>
      <c r="P22" s="3">
        <f>SUM(O22,M22,K22,I22,G22,E22,C22)</f>
        <v>309</v>
      </c>
    </row>
    <row r="23" spans="1:22">
      <c r="C23">
        <f>C22*20</f>
        <v>435</v>
      </c>
      <c r="G23">
        <f>G22*20</f>
        <v>1035</v>
      </c>
      <c r="I23">
        <f>I22*20</f>
        <v>1600</v>
      </c>
      <c r="K23">
        <f>K22*20</f>
        <v>1440</v>
      </c>
      <c r="M23">
        <f>M22*20</f>
        <v>740</v>
      </c>
    </row>
    <row r="25" spans="1:22" ht="18.75" customHeight="1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  <c r="Q29">
        <f>P22*20</f>
        <v>6180</v>
      </c>
    </row>
    <row r="30" spans="1:22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18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</row>
    <row r="33" spans="1:22" ht="15" customHeight="1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  <c r="T33" t="s">
        <v>110</v>
      </c>
    </row>
    <row r="34" spans="1:22" ht="18.75" customHeight="1" thickBot="1">
      <c r="D34" s="431" t="s">
        <v>119</v>
      </c>
      <c r="E34" s="432"/>
      <c r="F34" s="432"/>
      <c r="G34" s="432"/>
      <c r="H34" s="432"/>
      <c r="I34" s="432"/>
      <c r="J34" s="433"/>
    </row>
    <row r="36" spans="1:22">
      <c r="R36" s="351"/>
      <c r="S36" s="351" t="s">
        <v>0</v>
      </c>
      <c r="T36" s="351" t="s">
        <v>2</v>
      </c>
      <c r="U36" s="351" t="s">
        <v>3</v>
      </c>
      <c r="V36" s="351" t="s">
        <v>4</v>
      </c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22E3-9ED0-4E80-ADA8-CA3F70AFEBA7}">
  <sheetPr>
    <tabColor theme="9"/>
  </sheetPr>
  <dimension ref="A1:AA36"/>
  <sheetViews>
    <sheetView zoomScale="70" zoomScaleNormal="70" workbookViewId="0">
      <selection activeCell="J18" sqref="J18"/>
    </sheetView>
  </sheetViews>
  <sheetFormatPr defaultRowHeight="14.45"/>
  <cols>
    <col min="1" max="1" width="26.28515625" customWidth="1"/>
    <col min="2" max="2" width="35.28515625" customWidth="1"/>
    <col min="3" max="3" width="5.5703125" bestFit="1" customWidth="1"/>
    <col min="4" max="4" width="20" customWidth="1"/>
    <col min="5" max="5" width="5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7.28515625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8" max="18" width="13.85546875" customWidth="1"/>
    <col min="19" max="19" width="11.28515625" customWidth="1"/>
    <col min="21" max="21" width="19.5703125" bestFit="1" customWidth="1"/>
    <col min="22" max="22" width="15.5703125" customWidth="1"/>
    <col min="24" max="24" width="19.140625" customWidth="1"/>
    <col min="25" max="25" width="14.85546875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46146</v>
      </c>
      <c r="C2" s="6"/>
      <c r="D2" s="5">
        <v>46147</v>
      </c>
      <c r="E2" s="6"/>
      <c r="F2" s="5">
        <v>46148</v>
      </c>
      <c r="G2" s="6"/>
      <c r="H2" s="5">
        <v>46149</v>
      </c>
      <c r="I2" s="6"/>
      <c r="J2" s="5">
        <v>46150</v>
      </c>
      <c r="K2" s="6"/>
      <c r="L2" s="5">
        <v>46151</v>
      </c>
      <c r="M2" s="6"/>
      <c r="N2" s="5">
        <v>46152</v>
      </c>
      <c r="O2" s="7"/>
      <c r="P2" s="3"/>
    </row>
    <row r="3" spans="1:22" ht="63" customHeight="1">
      <c r="A3" s="8" t="s">
        <v>9</v>
      </c>
      <c r="B3" s="346" t="s">
        <v>454</v>
      </c>
      <c r="C3" s="10"/>
      <c r="D3" s="62" t="s">
        <v>455</v>
      </c>
      <c r="E3" s="10"/>
      <c r="F3" s="62" t="s">
        <v>456</v>
      </c>
      <c r="G3" s="11"/>
      <c r="H3" s="62"/>
      <c r="I3" s="10"/>
      <c r="J3" s="62" t="s">
        <v>457</v>
      </c>
      <c r="K3" s="10"/>
      <c r="L3" s="62"/>
      <c r="M3" s="13"/>
      <c r="N3" s="62"/>
      <c r="O3" s="15"/>
      <c r="P3" s="3"/>
    </row>
    <row r="4" spans="1:22" ht="28.9">
      <c r="A4" s="82" t="s">
        <v>14</v>
      </c>
      <c r="B4" s="18" t="s">
        <v>204</v>
      </c>
      <c r="C4" s="18">
        <v>11</v>
      </c>
      <c r="D4" s="18" t="s">
        <v>458</v>
      </c>
      <c r="E4" s="18">
        <v>10.5</v>
      </c>
      <c r="F4" s="18" t="s">
        <v>459</v>
      </c>
      <c r="G4" s="18">
        <v>10.5</v>
      </c>
      <c r="H4" s="18" t="s">
        <v>460</v>
      </c>
      <c r="I4" s="18">
        <v>8</v>
      </c>
      <c r="J4" s="18" t="s">
        <v>17</v>
      </c>
      <c r="K4" s="18"/>
      <c r="L4" s="289"/>
      <c r="M4" s="18"/>
      <c r="N4" s="18" t="s">
        <v>17</v>
      </c>
      <c r="O4" s="18"/>
      <c r="P4" s="3">
        <f t="shared" ref="P4:P22" si="0">SUM(O4,M4,K4,I4,G4,E4,C4)</f>
        <v>40</v>
      </c>
    </row>
    <row r="5" spans="1:22">
      <c r="A5" s="45" t="s">
        <v>18</v>
      </c>
      <c r="B5" s="18" t="s">
        <v>461</v>
      </c>
      <c r="C5" s="18">
        <v>8</v>
      </c>
      <c r="D5" s="18" t="s">
        <v>462</v>
      </c>
      <c r="E5" s="18">
        <v>8</v>
      </c>
      <c r="F5" s="18" t="s">
        <v>16</v>
      </c>
      <c r="G5" s="18">
        <v>8</v>
      </c>
      <c r="H5" s="18" t="s">
        <v>15</v>
      </c>
      <c r="I5" s="18">
        <v>8</v>
      </c>
      <c r="J5" s="18" t="s">
        <v>16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>
      <c r="A6" s="163" t="s">
        <v>214</v>
      </c>
      <c r="B6" s="301" t="s">
        <v>463</v>
      </c>
      <c r="C6" s="314">
        <v>7.5</v>
      </c>
      <c r="D6" s="329" t="s">
        <v>170</v>
      </c>
      <c r="E6" s="314">
        <v>5</v>
      </c>
      <c r="F6" s="301" t="s">
        <v>464</v>
      </c>
      <c r="G6" s="314">
        <v>7</v>
      </c>
      <c r="H6" s="135"/>
      <c r="I6" s="314"/>
      <c r="J6" s="314" t="s">
        <v>465</v>
      </c>
      <c r="K6" s="314">
        <v>4.5</v>
      </c>
      <c r="L6" s="326" t="s">
        <v>26</v>
      </c>
      <c r="M6" s="48"/>
      <c r="N6" s="18" t="s">
        <v>17</v>
      </c>
      <c r="O6" s="18"/>
      <c r="P6" s="3">
        <f>SUM(O6,M6,K6,I6,G6,E6,C6)</f>
        <v>24</v>
      </c>
    </row>
    <row r="7" spans="1:22" ht="30" customHeight="1">
      <c r="A7" s="163" t="s">
        <v>34</v>
      </c>
      <c r="B7" s="153" t="s">
        <v>466</v>
      </c>
      <c r="C7" s="314">
        <v>7.5</v>
      </c>
      <c r="D7" s="56" t="s">
        <v>26</v>
      </c>
      <c r="E7" s="314"/>
      <c r="F7" s="347" t="s">
        <v>467</v>
      </c>
      <c r="G7" s="314">
        <v>7</v>
      </c>
      <c r="H7" s="327" t="s">
        <v>468</v>
      </c>
      <c r="I7" s="314">
        <v>9.5</v>
      </c>
      <c r="J7" s="347"/>
      <c r="K7" s="314"/>
      <c r="L7" s="69"/>
      <c r="M7" s="47"/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</v>
      </c>
      <c r="B8" s="314" t="s">
        <v>469</v>
      </c>
      <c r="C8" s="314">
        <v>8.5</v>
      </c>
      <c r="D8" s="314" t="s">
        <v>26</v>
      </c>
      <c r="E8" s="314"/>
      <c r="F8" s="301" t="s">
        <v>470</v>
      </c>
      <c r="G8" s="314">
        <v>9.5</v>
      </c>
      <c r="H8" s="69"/>
      <c r="I8" s="314"/>
      <c r="J8" s="298"/>
      <c r="K8" s="314"/>
      <c r="L8" s="301" t="s">
        <v>471</v>
      </c>
      <c r="M8" s="48">
        <v>6</v>
      </c>
      <c r="N8" s="18" t="s">
        <v>17</v>
      </c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2">
      <c r="A9" s="128" t="s">
        <v>76</v>
      </c>
      <c r="B9" s="326" t="s">
        <v>26</v>
      </c>
      <c r="C9" s="314"/>
      <c r="D9" s="314" t="s">
        <v>26</v>
      </c>
      <c r="E9" s="314"/>
      <c r="F9" s="314" t="s">
        <v>26</v>
      </c>
      <c r="G9" s="314"/>
      <c r="H9" s="314" t="s">
        <v>26</v>
      </c>
      <c r="I9" s="314"/>
      <c r="J9" s="314" t="s">
        <v>26</v>
      </c>
      <c r="K9" s="314"/>
      <c r="L9" s="301" t="s">
        <v>26</v>
      </c>
      <c r="M9" s="48"/>
      <c r="N9" s="18" t="s">
        <v>17</v>
      </c>
      <c r="O9" s="18"/>
      <c r="P9" s="3">
        <f t="shared" si="0"/>
        <v>0</v>
      </c>
      <c r="R9" s="121"/>
      <c r="S9" s="121"/>
      <c r="T9" s="260"/>
      <c r="U9" s="121" t="s">
        <v>45</v>
      </c>
    </row>
    <row r="10" spans="1:22" ht="28.9">
      <c r="A10" s="45" t="s">
        <v>40</v>
      </c>
      <c r="B10" s="48" t="s">
        <v>472</v>
      </c>
      <c r="C10" s="48">
        <v>9.5</v>
      </c>
      <c r="D10" s="14"/>
      <c r="E10" s="314"/>
      <c r="F10" s="329"/>
      <c r="G10" s="314"/>
      <c r="H10" s="326" t="s">
        <v>473</v>
      </c>
      <c r="I10" s="314">
        <v>7.5</v>
      </c>
      <c r="J10" s="334" t="s">
        <v>474</v>
      </c>
      <c r="K10" s="314">
        <v>7</v>
      </c>
      <c r="L10" s="69"/>
      <c r="M10" s="48"/>
      <c r="N10" s="18" t="s">
        <v>17</v>
      </c>
      <c r="O10" s="18"/>
      <c r="P10" s="3">
        <f>SUM(O10,M10,K10,I10,G10,E10,C10)</f>
        <v>24</v>
      </c>
      <c r="R10" s="121"/>
      <c r="S10" s="121"/>
      <c r="T10" s="121"/>
      <c r="U10" s="121" t="s">
        <v>50</v>
      </c>
    </row>
    <row r="11" spans="1:22" ht="28.9">
      <c r="A11" s="163" t="s">
        <v>228</v>
      </c>
      <c r="B11" s="330" t="s">
        <v>475</v>
      </c>
      <c r="C11" s="314">
        <v>5.5</v>
      </c>
      <c r="D11" s="330" t="s">
        <v>476</v>
      </c>
      <c r="E11" s="314">
        <v>5</v>
      </c>
      <c r="F11" s="330" t="s">
        <v>477</v>
      </c>
      <c r="G11" s="314">
        <v>5</v>
      </c>
      <c r="H11" s="330" t="s">
        <v>478</v>
      </c>
      <c r="I11" s="314">
        <v>3.5</v>
      </c>
      <c r="J11" s="330"/>
      <c r="K11" s="314"/>
      <c r="L11" s="45" t="s">
        <v>479</v>
      </c>
      <c r="M11" s="314">
        <v>5</v>
      </c>
      <c r="N11" s="18" t="s">
        <v>17</v>
      </c>
      <c r="O11" s="18"/>
      <c r="P11" s="3">
        <f>SUM(O11,M11,K11,I11,G11,E11,C11)</f>
        <v>24</v>
      </c>
      <c r="R11" s="121"/>
      <c r="S11" s="121"/>
      <c r="T11" s="121"/>
      <c r="U11" s="121" t="s">
        <v>55</v>
      </c>
    </row>
    <row r="12" spans="1:22" ht="28.9">
      <c r="A12" s="60" t="s">
        <v>229</v>
      </c>
      <c r="B12" s="329" t="s">
        <v>480</v>
      </c>
      <c r="C12" s="314">
        <v>7</v>
      </c>
      <c r="D12" s="213" t="s">
        <v>481</v>
      </c>
      <c r="E12" s="314">
        <v>10.5</v>
      </c>
      <c r="F12" s="329"/>
      <c r="G12" s="314"/>
      <c r="H12" s="329"/>
      <c r="I12" s="314"/>
      <c r="J12" s="347"/>
      <c r="K12" s="314"/>
      <c r="L12" s="56" t="s">
        <v>482</v>
      </c>
      <c r="M12" s="314">
        <v>6.5</v>
      </c>
      <c r="N12" s="18" t="s">
        <v>17</v>
      </c>
      <c r="O12" s="18"/>
      <c r="P12" s="3">
        <f t="shared" ref="P12:P13" si="1">SUM(O12,M12,K12,I12,G12,E12,C12)</f>
        <v>24</v>
      </c>
      <c r="R12" s="121"/>
      <c r="S12" s="121"/>
      <c r="T12" s="121"/>
      <c r="U12" s="121" t="s">
        <v>58</v>
      </c>
    </row>
    <row r="13" spans="1:22" ht="43.15">
      <c r="A13" s="163" t="s">
        <v>234</v>
      </c>
      <c r="B13" s="44" t="s">
        <v>483</v>
      </c>
      <c r="C13" s="314">
        <v>4</v>
      </c>
      <c r="D13" s="273"/>
      <c r="E13" s="314"/>
      <c r="F13" s="314" t="s">
        <v>484</v>
      </c>
      <c r="G13" s="314">
        <v>10</v>
      </c>
      <c r="H13" s="213" t="s">
        <v>485</v>
      </c>
      <c r="I13" s="314">
        <v>3.5</v>
      </c>
      <c r="J13" s="347" t="s">
        <v>486</v>
      </c>
      <c r="K13" s="314">
        <v>6.5</v>
      </c>
      <c r="L13" s="60" t="s">
        <v>26</v>
      </c>
      <c r="M13" s="314"/>
      <c r="N13" s="18" t="s">
        <v>17</v>
      </c>
      <c r="O13" s="18"/>
      <c r="P13" s="3">
        <f t="shared" si="1"/>
        <v>24</v>
      </c>
      <c r="R13" s="121"/>
      <c r="S13" s="121"/>
      <c r="T13" s="121"/>
      <c r="U13" s="121"/>
    </row>
    <row r="14" spans="1:22">
      <c r="A14" s="60" t="s">
        <v>235</v>
      </c>
      <c r="B14" s="45" t="s">
        <v>487</v>
      </c>
      <c r="C14" s="48">
        <v>7.5</v>
      </c>
      <c r="D14" s="326" t="s">
        <v>488</v>
      </c>
      <c r="E14" s="314">
        <v>5</v>
      </c>
      <c r="F14" s="329" t="s">
        <v>489</v>
      </c>
      <c r="G14" s="314">
        <v>7</v>
      </c>
      <c r="H14" s="38"/>
      <c r="I14" s="314"/>
      <c r="J14" s="325"/>
      <c r="K14" s="314"/>
      <c r="L14" s="329" t="s">
        <v>490</v>
      </c>
      <c r="M14" s="314">
        <v>4.5</v>
      </c>
      <c r="N14" s="18" t="s">
        <v>17</v>
      </c>
      <c r="O14" s="18"/>
      <c r="P14" s="3">
        <f t="shared" si="0"/>
        <v>24</v>
      </c>
      <c r="R14" s="121"/>
      <c r="S14" s="121"/>
      <c r="T14" s="121"/>
      <c r="U14" s="121"/>
    </row>
    <row r="15" spans="1:22" ht="28.9">
      <c r="A15" s="101" t="s">
        <v>491</v>
      </c>
      <c r="B15" s="319"/>
      <c r="C15" s="314"/>
      <c r="D15" s="273"/>
      <c r="E15" s="314"/>
      <c r="F15" s="319" t="s">
        <v>492</v>
      </c>
      <c r="G15" s="314">
        <v>7.5</v>
      </c>
      <c r="H15" s="319" t="s">
        <v>492</v>
      </c>
      <c r="I15" s="314">
        <v>7.5</v>
      </c>
      <c r="J15" s="324" t="s">
        <v>493</v>
      </c>
      <c r="K15" s="314">
        <v>7.5</v>
      </c>
      <c r="L15" s="69"/>
      <c r="M15" s="48"/>
      <c r="N15" s="18" t="s">
        <v>17</v>
      </c>
      <c r="O15" s="18"/>
      <c r="P15" s="3">
        <f t="shared" si="0"/>
        <v>22.5</v>
      </c>
      <c r="R15" s="121"/>
      <c r="S15" s="121"/>
      <c r="T15" s="121"/>
      <c r="U15" s="121"/>
    </row>
    <row r="16" spans="1:22" ht="29.45">
      <c r="A16" s="101" t="s">
        <v>376</v>
      </c>
      <c r="B16" s="301" t="s">
        <v>494</v>
      </c>
      <c r="C16" s="314"/>
      <c r="D16" s="348"/>
      <c r="E16" s="314"/>
      <c r="F16" s="349" t="s">
        <v>495</v>
      </c>
      <c r="G16" s="314">
        <v>5</v>
      </c>
      <c r="H16" s="314" t="s">
        <v>54</v>
      </c>
      <c r="I16" s="314">
        <v>7.5</v>
      </c>
      <c r="J16" s="314" t="s">
        <v>496</v>
      </c>
      <c r="K16" s="314">
        <v>9.5</v>
      </c>
      <c r="L16" s="298" t="s">
        <v>497</v>
      </c>
      <c r="M16" s="48">
        <v>2</v>
      </c>
      <c r="N16" s="18" t="s">
        <v>17</v>
      </c>
      <c r="O16" s="18"/>
      <c r="P16" s="3">
        <f t="shared" si="0"/>
        <v>24</v>
      </c>
      <c r="R16" s="299" t="s">
        <v>74</v>
      </c>
      <c r="S16" s="299"/>
      <c r="T16" s="299" t="s">
        <v>75</v>
      </c>
      <c r="U16" s="299"/>
      <c r="V16" s="300"/>
    </row>
    <row r="17" spans="1:22" ht="18">
      <c r="A17" s="128" t="s">
        <v>257</v>
      </c>
      <c r="B17" s="303" t="s">
        <v>26</v>
      </c>
      <c r="C17" s="18"/>
      <c r="D17" s="50" t="s">
        <v>26</v>
      </c>
      <c r="E17" s="18"/>
      <c r="F17" s="85" t="s">
        <v>26</v>
      </c>
      <c r="G17" s="18"/>
      <c r="H17" s="303" t="s">
        <v>26</v>
      </c>
      <c r="I17" s="18"/>
      <c r="J17" s="50" t="s">
        <v>26</v>
      </c>
      <c r="K17" s="18"/>
      <c r="L17" s="69"/>
      <c r="M17" s="48"/>
      <c r="N17" s="18" t="s">
        <v>17</v>
      </c>
      <c r="O17" s="18"/>
      <c r="P17" s="3">
        <f t="shared" si="0"/>
        <v>0</v>
      </c>
      <c r="R17" s="299"/>
      <c r="S17" s="299"/>
      <c r="T17" s="299"/>
      <c r="U17" s="299"/>
      <c r="V17" s="300"/>
    </row>
    <row r="18" spans="1:22" ht="105.6" customHeight="1">
      <c r="A18" s="128" t="s">
        <v>440</v>
      </c>
      <c r="B18" s="314" t="s">
        <v>498</v>
      </c>
      <c r="C18" s="314">
        <v>6.5</v>
      </c>
      <c r="D18" s="314" t="s">
        <v>499</v>
      </c>
      <c r="E18" s="314">
        <v>7.75</v>
      </c>
      <c r="F18" s="301"/>
      <c r="G18" s="314"/>
      <c r="H18" s="69"/>
      <c r="I18" s="314"/>
      <c r="J18" s="326"/>
      <c r="K18" s="314"/>
      <c r="L18" s="48" t="s">
        <v>500</v>
      </c>
      <c r="M18" s="48">
        <v>10</v>
      </c>
      <c r="N18" s="18" t="s">
        <v>17</v>
      </c>
      <c r="O18" s="18"/>
      <c r="P18" s="3">
        <f t="shared" si="0"/>
        <v>24.25</v>
      </c>
      <c r="R18" s="299"/>
      <c r="S18" s="299"/>
      <c r="T18" s="299"/>
      <c r="U18" s="299"/>
      <c r="V18" s="300"/>
    </row>
    <row r="19" spans="1:22" ht="43.15">
      <c r="A19" s="128" t="s">
        <v>501</v>
      </c>
      <c r="B19" s="56" t="s">
        <v>502</v>
      </c>
      <c r="C19" s="48">
        <v>7.5</v>
      </c>
      <c r="D19" s="329"/>
      <c r="E19" s="314"/>
      <c r="F19" s="56" t="s">
        <v>503</v>
      </c>
      <c r="G19" s="48">
        <v>7.5</v>
      </c>
      <c r="H19" s="243"/>
      <c r="I19" s="314"/>
      <c r="J19" s="56" t="s">
        <v>504</v>
      </c>
      <c r="K19" s="48">
        <v>9</v>
      </c>
      <c r="L19" s="48"/>
      <c r="M19" s="48"/>
      <c r="N19" s="18" t="s">
        <v>17</v>
      </c>
      <c r="O19" s="18"/>
      <c r="P19" s="3">
        <f t="shared" si="0"/>
        <v>24</v>
      </c>
      <c r="R19" s="121"/>
      <c r="S19" s="121"/>
      <c r="T19" s="121"/>
      <c r="U19" s="121"/>
    </row>
    <row r="20" spans="1:22">
      <c r="A20" s="350"/>
      <c r="B20" s="45"/>
      <c r="C20" s="48"/>
      <c r="D20" s="45"/>
      <c r="E20" s="48"/>
      <c r="F20" s="45"/>
      <c r="G20" s="48"/>
      <c r="H20" s="45"/>
      <c r="I20" s="48"/>
      <c r="J20" s="332"/>
      <c r="K20" s="14"/>
      <c r="L20" s="301"/>
      <c r="M20" s="48"/>
      <c r="N20" s="18"/>
      <c r="O20" s="18"/>
      <c r="P20" s="3"/>
      <c r="R20" s="121"/>
      <c r="S20" s="121"/>
      <c r="T20" s="121"/>
      <c r="U20" s="121"/>
    </row>
    <row r="21" spans="1:22" ht="43.15">
      <c r="A21" s="45" t="s">
        <v>505</v>
      </c>
      <c r="B21" s="101" t="s">
        <v>506</v>
      </c>
      <c r="C21" s="18">
        <v>7</v>
      </c>
      <c r="D21" s="143"/>
      <c r="E21" s="18"/>
      <c r="F21" s="349" t="s">
        <v>507</v>
      </c>
      <c r="G21" s="314">
        <v>4</v>
      </c>
      <c r="H21" s="319" t="s">
        <v>507</v>
      </c>
      <c r="I21" s="314">
        <v>4</v>
      </c>
      <c r="J21" s="325"/>
      <c r="K21" s="314"/>
      <c r="L21" s="85"/>
      <c r="M21" s="18"/>
      <c r="N21" s="18" t="s">
        <v>17</v>
      </c>
      <c r="O21" s="18"/>
      <c r="P21" s="3">
        <f t="shared" si="0"/>
        <v>15</v>
      </c>
      <c r="R21" s="121"/>
      <c r="S21" s="121"/>
      <c r="T21" s="121"/>
      <c r="U21" s="121"/>
    </row>
    <row r="22" spans="1:22" ht="28.9">
      <c r="A22" s="45" t="s">
        <v>508</v>
      </c>
      <c r="B22" s="101" t="s">
        <v>509</v>
      </c>
      <c r="C22" s="18">
        <v>7</v>
      </c>
      <c r="D22" s="102"/>
      <c r="E22" s="18"/>
      <c r="F22" s="334" t="s">
        <v>510</v>
      </c>
      <c r="G22" s="18">
        <v>4</v>
      </c>
      <c r="H22" s="85"/>
      <c r="I22" s="18"/>
      <c r="J22" s="334" t="s">
        <v>511</v>
      </c>
      <c r="K22" s="18">
        <v>4</v>
      </c>
      <c r="L22" s="268"/>
      <c r="M22" s="18"/>
      <c r="N22" s="18" t="s">
        <v>17</v>
      </c>
      <c r="O22" s="18"/>
      <c r="P22" s="3">
        <f t="shared" si="0"/>
        <v>15</v>
      </c>
    </row>
    <row r="23" spans="1:22">
      <c r="A23" s="52" t="s">
        <v>95</v>
      </c>
      <c r="B23" s="3"/>
      <c r="C23" s="3">
        <f>SUM(C7:C14)</f>
        <v>49.5</v>
      </c>
      <c r="D23" s="3"/>
      <c r="E23" s="3">
        <f>SUM(E6:E22)</f>
        <v>33.25</v>
      </c>
      <c r="F23" s="3"/>
      <c r="G23" s="3">
        <f>SUM(G6:G22)</f>
        <v>73.5</v>
      </c>
      <c r="H23" s="3"/>
      <c r="I23" s="3">
        <f>SUM(I6:I22)</f>
        <v>43</v>
      </c>
      <c r="J23" s="3"/>
      <c r="K23" s="3">
        <f>SUM(K6:K22)</f>
        <v>48</v>
      </c>
      <c r="L23" s="3"/>
      <c r="M23" s="3">
        <f>SUM(M6:M22)</f>
        <v>34</v>
      </c>
      <c r="N23" s="3"/>
      <c r="O23" s="3">
        <f>SUM(O6:O22)</f>
        <v>0</v>
      </c>
      <c r="P23" s="3">
        <f>SUM(O23,M23,K23,I23,G23,E23,C23)</f>
        <v>281.25</v>
      </c>
    </row>
    <row r="24" spans="1:22">
      <c r="C24">
        <f>C23*20</f>
        <v>990</v>
      </c>
      <c r="G24">
        <f>G23*20</f>
        <v>1470</v>
      </c>
      <c r="I24">
        <f>I23*20</f>
        <v>860</v>
      </c>
      <c r="K24">
        <f>K23*20</f>
        <v>960</v>
      </c>
      <c r="M24">
        <f>M23*20</f>
        <v>680</v>
      </c>
    </row>
    <row r="26" spans="1:22" ht="15" thickBot="1">
      <c r="A26" s="264" t="s">
        <v>96</v>
      </c>
      <c r="B26" s="264"/>
      <c r="C26" s="117"/>
      <c r="D26" s="121"/>
    </row>
    <row r="27" spans="1:22" ht="18.600000000000001" thickBot="1">
      <c r="A27" s="145" t="s">
        <v>97</v>
      </c>
      <c r="D27" s="434" t="s">
        <v>98</v>
      </c>
      <c r="E27" s="435"/>
      <c r="F27" s="435"/>
      <c r="G27" s="435"/>
      <c r="H27" s="435"/>
      <c r="I27" s="435"/>
      <c r="J27" s="436"/>
    </row>
    <row r="28" spans="1:22" ht="18">
      <c r="A28" s="146" t="s">
        <v>99</v>
      </c>
      <c r="D28" s="174" t="s">
        <v>100</v>
      </c>
      <c r="E28" s="175"/>
      <c r="F28" s="175" t="s">
        <v>101</v>
      </c>
      <c r="G28" s="175"/>
      <c r="H28" s="175" t="s">
        <v>102</v>
      </c>
      <c r="I28" s="175"/>
      <c r="J28" s="176" t="s">
        <v>103</v>
      </c>
    </row>
    <row r="29" spans="1:22" ht="18.600000000000001" thickBot="1">
      <c r="A29" s="147" t="s">
        <v>104</v>
      </c>
      <c r="D29" s="177" t="s">
        <v>105</v>
      </c>
      <c r="E29" s="178"/>
      <c r="F29" s="178" t="s">
        <v>106</v>
      </c>
      <c r="G29" s="178"/>
      <c r="H29" s="178" t="s">
        <v>107</v>
      </c>
      <c r="I29" s="178"/>
      <c r="J29" s="179" t="s">
        <v>108</v>
      </c>
      <c r="Q29">
        <f>P23*20</f>
        <v>5625</v>
      </c>
    </row>
    <row r="30" spans="1:22" ht="18.600000000000001" thickBot="1">
      <c r="A30" s="148" t="s">
        <v>109</v>
      </c>
      <c r="D30" s="175" t="s">
        <v>110</v>
      </c>
      <c r="E30" s="175"/>
      <c r="F30" s="175"/>
      <c r="G30" s="175"/>
      <c r="H30" s="175"/>
      <c r="I30" s="175"/>
      <c r="J30" s="175"/>
    </row>
    <row r="31" spans="1:22" ht="18.600000000000001" thickBot="1">
      <c r="A31" s="149" t="s">
        <v>111</v>
      </c>
      <c r="D31" s="434" t="s">
        <v>112</v>
      </c>
      <c r="E31" s="435"/>
      <c r="F31" s="435"/>
      <c r="G31" s="435"/>
      <c r="H31" s="435"/>
      <c r="I31" s="435"/>
      <c r="J31" s="436"/>
    </row>
    <row r="32" spans="1:22" ht="18">
      <c r="A32" s="150" t="s">
        <v>113</v>
      </c>
      <c r="D32" s="437" t="s">
        <v>114</v>
      </c>
      <c r="E32" s="438"/>
      <c r="F32" s="438"/>
      <c r="G32" s="438"/>
      <c r="H32" s="438"/>
      <c r="I32" s="438"/>
      <c r="J32" s="439"/>
    </row>
    <row r="33" spans="1:27" ht="18">
      <c r="A33" s="151" t="s">
        <v>115</v>
      </c>
      <c r="D33" s="437" t="s">
        <v>116</v>
      </c>
      <c r="E33" s="438"/>
      <c r="F33" s="438"/>
      <c r="G33" s="438"/>
      <c r="H33" s="438"/>
      <c r="I33" s="438"/>
      <c r="J33" s="439"/>
      <c r="T33" t="s">
        <v>110</v>
      </c>
    </row>
    <row r="34" spans="1:27" ht="18">
      <c r="A34" s="152" t="s">
        <v>117</v>
      </c>
      <c r="D34" s="437" t="s">
        <v>118</v>
      </c>
      <c r="E34" s="438"/>
      <c r="F34" s="438"/>
      <c r="G34" s="438"/>
      <c r="H34" s="438"/>
      <c r="I34" s="438"/>
      <c r="J34" s="439"/>
    </row>
    <row r="35" spans="1:27" ht="15" thickBot="1">
      <c r="D35" s="431" t="s">
        <v>119</v>
      </c>
      <c r="E35" s="432"/>
      <c r="F35" s="432"/>
      <c r="G35" s="432"/>
      <c r="H35" s="432"/>
      <c r="I35" s="432"/>
      <c r="J35" s="433"/>
    </row>
    <row r="36" spans="1:27">
      <c r="R36" s="351"/>
      <c r="S36" s="351" t="s">
        <v>0</v>
      </c>
      <c r="T36" s="351" t="s">
        <v>2</v>
      </c>
      <c r="U36" s="351" t="s">
        <v>3</v>
      </c>
      <c r="V36" s="351" t="s">
        <v>4</v>
      </c>
      <c r="W36" s="351" t="s">
        <v>5</v>
      </c>
      <c r="X36" s="351" t="s">
        <v>275</v>
      </c>
      <c r="Y36" s="351" t="s">
        <v>512</v>
      </c>
      <c r="Z36" s="351" t="s">
        <v>513</v>
      </c>
      <c r="AA36" s="351"/>
    </row>
  </sheetData>
  <mergeCells count="6">
    <mergeCell ref="D35:J35"/>
    <mergeCell ref="D27:J27"/>
    <mergeCell ref="D31:J31"/>
    <mergeCell ref="D32:J32"/>
    <mergeCell ref="D33:J33"/>
    <mergeCell ref="D34:J3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C4C-5847-490B-A636-A9B5E56C09CF}">
  <sheetPr>
    <tabColor theme="9"/>
    <pageSetUpPr fitToPage="1"/>
  </sheetPr>
  <dimension ref="A1:V35"/>
  <sheetViews>
    <sheetView zoomScale="70" zoomScaleNormal="70" workbookViewId="0">
      <selection activeCell="D10" sqref="D10"/>
    </sheetView>
  </sheetViews>
  <sheetFormatPr defaultRowHeight="14.45"/>
  <cols>
    <col min="1" max="1" width="26.28515625" customWidth="1"/>
    <col min="2" max="2" width="17.42578125" customWidth="1"/>
    <col min="3" max="3" width="5.28515625" customWidth="1"/>
    <col min="4" max="4" width="20" customWidth="1"/>
    <col min="5" max="5" width="5.140625" bestFit="1" customWidth="1"/>
    <col min="6" max="6" width="33.28515625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46139</v>
      </c>
      <c r="C2" s="6"/>
      <c r="D2" s="5">
        <v>46140</v>
      </c>
      <c r="E2" s="6"/>
      <c r="F2" s="5">
        <v>46141</v>
      </c>
      <c r="G2" s="6"/>
      <c r="H2" s="5" t="s">
        <v>514</v>
      </c>
      <c r="I2" s="6"/>
      <c r="J2" s="5">
        <v>46143</v>
      </c>
      <c r="K2" s="6"/>
      <c r="L2" s="5">
        <v>46144</v>
      </c>
      <c r="M2" s="6"/>
      <c r="N2" s="5">
        <v>46145</v>
      </c>
      <c r="O2" s="7"/>
      <c r="P2" s="3"/>
    </row>
    <row r="3" spans="1:22" ht="72.599999999999994" customHeight="1">
      <c r="A3" s="8" t="s">
        <v>9</v>
      </c>
      <c r="B3" s="62" t="s">
        <v>515</v>
      </c>
      <c r="C3" s="10"/>
      <c r="D3" s="62" t="s">
        <v>515</v>
      </c>
      <c r="E3" s="10"/>
      <c r="F3" s="62" t="s">
        <v>516</v>
      </c>
      <c r="G3" s="11"/>
      <c r="H3" s="62" t="s">
        <v>517</v>
      </c>
      <c r="I3" s="10"/>
      <c r="J3" s="62" t="s">
        <v>515</v>
      </c>
      <c r="K3" s="10"/>
      <c r="L3" s="62" t="s">
        <v>518</v>
      </c>
      <c r="M3" s="13"/>
      <c r="N3" s="62"/>
      <c r="O3" s="15"/>
      <c r="P3" s="3"/>
    </row>
    <row r="4" spans="1:22">
      <c r="A4" s="82" t="s">
        <v>14</v>
      </c>
      <c r="B4" s="18" t="s">
        <v>519</v>
      </c>
      <c r="C4" s="18">
        <v>11.5</v>
      </c>
      <c r="D4" s="18" t="s">
        <v>520</v>
      </c>
      <c r="E4" s="18">
        <v>13.5</v>
      </c>
      <c r="F4" s="18" t="s">
        <v>521</v>
      </c>
      <c r="G4" s="18">
        <v>10</v>
      </c>
      <c r="H4" s="18" t="s">
        <v>522</v>
      </c>
      <c r="I4" s="18">
        <v>10.5</v>
      </c>
      <c r="J4" s="18" t="s">
        <v>523</v>
      </c>
      <c r="K4" s="18">
        <v>3</v>
      </c>
      <c r="L4" s="289"/>
      <c r="M4" s="18"/>
      <c r="N4" s="18" t="s">
        <v>17</v>
      </c>
      <c r="O4" s="18"/>
      <c r="P4" s="3">
        <f t="shared" ref="P4:P22" si="0">SUM(O4,M4,K4,I4,G4,E4,C4)</f>
        <v>48.5</v>
      </c>
    </row>
    <row r="5" spans="1:22">
      <c r="A5" s="45" t="s">
        <v>18</v>
      </c>
      <c r="B5" s="18" t="s">
        <v>15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524</v>
      </c>
      <c r="I5" s="18">
        <v>9</v>
      </c>
      <c r="J5" s="18" t="s">
        <v>525</v>
      </c>
      <c r="K5" s="18">
        <v>7</v>
      </c>
      <c r="L5" s="289"/>
      <c r="M5" s="18"/>
      <c r="N5" s="18" t="s">
        <v>17</v>
      </c>
      <c r="O5" s="18"/>
      <c r="P5" s="3">
        <f t="shared" si="0"/>
        <v>40</v>
      </c>
    </row>
    <row r="6" spans="1:22" ht="50.45" customHeight="1">
      <c r="A6" s="163" t="s">
        <v>214</v>
      </c>
      <c r="B6" s="301" t="s">
        <v>526</v>
      </c>
      <c r="C6" s="314">
        <v>6.5</v>
      </c>
      <c r="D6" s="301"/>
      <c r="E6" s="314"/>
      <c r="F6" s="325" t="s">
        <v>527</v>
      </c>
      <c r="G6" s="314">
        <v>6</v>
      </c>
      <c r="H6" s="325" t="s">
        <v>528</v>
      </c>
      <c r="I6" s="314">
        <v>7.5</v>
      </c>
      <c r="J6" s="325" t="s">
        <v>529</v>
      </c>
      <c r="K6" s="314">
        <v>5.5</v>
      </c>
      <c r="L6" s="326" t="s">
        <v>530</v>
      </c>
      <c r="M6" s="48">
        <v>5</v>
      </c>
      <c r="N6" s="18" t="s">
        <v>17</v>
      </c>
      <c r="O6" s="18"/>
      <c r="P6" s="3">
        <f>SUM(O6,M6,K6,I6,G6,E6,C6)</f>
        <v>30.5</v>
      </c>
    </row>
    <row r="7" spans="1:22" ht="28.9">
      <c r="A7" s="163" t="s">
        <v>34</v>
      </c>
      <c r="B7" s="327"/>
      <c r="C7" s="314"/>
      <c r="D7" s="327" t="s">
        <v>531</v>
      </c>
      <c r="E7" s="314">
        <v>8</v>
      </c>
      <c r="F7" s="327" t="s">
        <v>532</v>
      </c>
      <c r="G7" s="314">
        <v>8</v>
      </c>
      <c r="H7" s="327" t="s">
        <v>531</v>
      </c>
      <c r="I7" s="314">
        <v>8</v>
      </c>
      <c r="J7" s="327"/>
      <c r="K7" s="314"/>
      <c r="L7" s="69"/>
      <c r="M7" s="47"/>
      <c r="N7" s="18" t="s">
        <v>17</v>
      </c>
      <c r="O7" s="18"/>
      <c r="P7" s="3">
        <f t="shared" si="0"/>
        <v>24</v>
      </c>
      <c r="R7" s="335" t="s">
        <v>31</v>
      </c>
      <c r="S7" s="336" t="s">
        <v>32</v>
      </c>
      <c r="T7" s="336" t="s">
        <v>33</v>
      </c>
      <c r="U7" s="337"/>
    </row>
    <row r="8" spans="1:22">
      <c r="A8" s="128" t="s">
        <v>69</v>
      </c>
      <c r="B8" s="301" t="s">
        <v>533</v>
      </c>
      <c r="C8" s="314">
        <v>9.5</v>
      </c>
      <c r="D8" s="301" t="s">
        <v>534</v>
      </c>
      <c r="E8" s="314">
        <v>7</v>
      </c>
      <c r="F8" s="301"/>
      <c r="G8" s="314"/>
      <c r="H8" s="69"/>
      <c r="I8" s="314"/>
      <c r="J8" s="328" t="s">
        <v>535</v>
      </c>
      <c r="K8" s="314">
        <v>7.5</v>
      </c>
      <c r="L8" s="301"/>
      <c r="M8" s="48"/>
      <c r="N8" s="18" t="s">
        <v>17</v>
      </c>
      <c r="O8" s="18"/>
      <c r="P8" s="3">
        <f t="shared" si="0"/>
        <v>24</v>
      </c>
      <c r="R8" s="338"/>
      <c r="S8" s="210"/>
      <c r="T8" s="339"/>
      <c r="U8" s="340" t="s">
        <v>39</v>
      </c>
    </row>
    <row r="9" spans="1:22">
      <c r="A9" s="128" t="s">
        <v>76</v>
      </c>
      <c r="B9" s="326"/>
      <c r="C9" s="314"/>
      <c r="D9" s="314" t="s">
        <v>26</v>
      </c>
      <c r="E9" s="314"/>
      <c r="F9" s="314" t="s">
        <v>26</v>
      </c>
      <c r="G9" s="314"/>
      <c r="H9" s="314" t="s">
        <v>536</v>
      </c>
      <c r="I9" s="314"/>
      <c r="J9" s="314"/>
      <c r="K9" s="314"/>
      <c r="L9" s="301"/>
      <c r="M9" s="48"/>
      <c r="N9" s="18" t="s">
        <v>17</v>
      </c>
      <c r="O9" s="18"/>
      <c r="P9" s="3">
        <f t="shared" si="0"/>
        <v>0</v>
      </c>
      <c r="R9" s="338"/>
      <c r="S9" s="210"/>
      <c r="T9" s="339"/>
      <c r="U9" s="340" t="s">
        <v>45</v>
      </c>
    </row>
    <row r="10" spans="1:22" ht="28.9">
      <c r="A10" s="45" t="s">
        <v>40</v>
      </c>
      <c r="B10" s="56" t="s">
        <v>531</v>
      </c>
      <c r="C10" s="48">
        <v>8</v>
      </c>
      <c r="D10" s="14" t="s">
        <v>537</v>
      </c>
      <c r="E10" s="314">
        <v>4</v>
      </c>
      <c r="F10" s="329" t="s">
        <v>538</v>
      </c>
      <c r="G10" s="314">
        <v>4</v>
      </c>
      <c r="H10" s="327"/>
      <c r="I10" s="314"/>
      <c r="J10" s="314" t="s">
        <v>362</v>
      </c>
      <c r="K10" s="314">
        <v>6</v>
      </c>
      <c r="L10" s="69"/>
      <c r="M10" s="48"/>
      <c r="N10" s="18" t="s">
        <v>17</v>
      </c>
      <c r="O10" s="18"/>
      <c r="P10" s="3">
        <f>SUM(O10,M10,K10,I10,G10,E10,C10)</f>
        <v>22</v>
      </c>
      <c r="R10" s="338"/>
      <c r="S10" s="210"/>
      <c r="T10" s="210"/>
      <c r="U10" s="340" t="s">
        <v>50</v>
      </c>
    </row>
    <row r="11" spans="1:22" ht="34.9" customHeight="1">
      <c r="A11" s="163" t="s">
        <v>228</v>
      </c>
      <c r="B11" s="330" t="s">
        <v>30</v>
      </c>
      <c r="C11" s="314">
        <v>4.5</v>
      </c>
      <c r="D11" s="314" t="s">
        <v>539</v>
      </c>
      <c r="E11" s="314">
        <v>5</v>
      </c>
      <c r="F11" s="330" t="s">
        <v>30</v>
      </c>
      <c r="G11" s="314">
        <v>4.5</v>
      </c>
      <c r="H11" s="301" t="s">
        <v>540</v>
      </c>
      <c r="I11" s="314">
        <v>6</v>
      </c>
      <c r="J11" s="329" t="s">
        <v>541</v>
      </c>
      <c r="K11" s="314">
        <v>4</v>
      </c>
      <c r="L11" s="301"/>
      <c r="M11" s="314"/>
      <c r="N11" s="18" t="s">
        <v>17</v>
      </c>
      <c r="O11" s="18"/>
      <c r="P11" s="3">
        <f>SUM(O11,M11,K11,I11,G11,E11,C11)</f>
        <v>24</v>
      </c>
      <c r="R11" s="338"/>
      <c r="S11" s="210"/>
      <c r="T11" s="210"/>
      <c r="U11" s="340" t="s">
        <v>55</v>
      </c>
    </row>
    <row r="12" spans="1:22" ht="135" customHeight="1">
      <c r="A12" s="60" t="s">
        <v>229</v>
      </c>
      <c r="B12" s="329"/>
      <c r="C12" s="314"/>
      <c r="D12" s="14"/>
      <c r="E12" s="314"/>
      <c r="F12" s="329" t="s">
        <v>542</v>
      </c>
      <c r="G12" s="314">
        <v>7.5</v>
      </c>
      <c r="H12" s="329" t="s">
        <v>543</v>
      </c>
      <c r="I12" s="314">
        <v>9.5</v>
      </c>
      <c r="J12" s="329"/>
      <c r="K12" s="314"/>
      <c r="L12" s="329" t="s">
        <v>544</v>
      </c>
      <c r="M12" s="314">
        <v>5</v>
      </c>
      <c r="N12" s="18" t="s">
        <v>17</v>
      </c>
      <c r="O12" s="18"/>
      <c r="P12" s="3">
        <f t="shared" ref="P12:P13" si="1">SUM(O12,M12,K12,I12,G12,E12,C12)</f>
        <v>22</v>
      </c>
      <c r="R12" s="338"/>
      <c r="S12" s="210"/>
      <c r="T12" s="210"/>
      <c r="U12" s="340" t="s">
        <v>58</v>
      </c>
    </row>
    <row r="13" spans="1:22" ht="28.9">
      <c r="A13" s="316" t="s">
        <v>234</v>
      </c>
      <c r="B13" s="331" t="s">
        <v>545</v>
      </c>
      <c r="C13" s="314">
        <v>5</v>
      </c>
      <c r="D13" s="273"/>
      <c r="E13" s="314"/>
      <c r="F13" s="314"/>
      <c r="G13" s="314"/>
      <c r="H13" s="56"/>
      <c r="I13" s="314"/>
      <c r="J13" s="173" t="s">
        <v>266</v>
      </c>
      <c r="K13" s="314">
        <v>5</v>
      </c>
      <c r="L13" s="56" t="s">
        <v>546</v>
      </c>
      <c r="M13" s="314">
        <v>8</v>
      </c>
      <c r="N13" s="18" t="s">
        <v>17</v>
      </c>
      <c r="O13" s="18"/>
      <c r="P13" s="3">
        <f t="shared" si="1"/>
        <v>18</v>
      </c>
      <c r="R13" s="338"/>
      <c r="S13" s="210"/>
      <c r="T13" s="210"/>
      <c r="U13" s="340"/>
    </row>
    <row r="14" spans="1:22" ht="28.9">
      <c r="A14" s="101" t="s">
        <v>235</v>
      </c>
      <c r="B14" s="332"/>
      <c r="C14" s="14"/>
      <c r="D14" s="326" t="s">
        <v>547</v>
      </c>
      <c r="E14" s="314">
        <v>9.5</v>
      </c>
      <c r="F14" s="101"/>
      <c r="G14" s="48"/>
      <c r="H14" s="314"/>
      <c r="I14" s="314"/>
      <c r="J14" s="325" t="s">
        <v>548</v>
      </c>
      <c r="K14" s="314">
        <v>4</v>
      </c>
      <c r="L14" s="329" t="s">
        <v>549</v>
      </c>
      <c r="M14" s="314">
        <v>10.5</v>
      </c>
      <c r="N14" s="18" t="s">
        <v>17</v>
      </c>
      <c r="O14" s="18"/>
      <c r="P14" s="3">
        <f t="shared" si="0"/>
        <v>24</v>
      </c>
      <c r="R14" s="341"/>
      <c r="S14" s="121"/>
      <c r="T14" s="121"/>
      <c r="U14" s="342"/>
    </row>
    <row r="15" spans="1:22" ht="28.9">
      <c r="A15" s="101" t="s">
        <v>240</v>
      </c>
      <c r="B15" s="331" t="s">
        <v>550</v>
      </c>
      <c r="C15" s="314">
        <v>6.5</v>
      </c>
      <c r="D15" s="273"/>
      <c r="E15" s="314"/>
      <c r="F15" s="331"/>
      <c r="G15" s="48"/>
      <c r="H15" s="331" t="s">
        <v>551</v>
      </c>
      <c r="I15" s="314">
        <v>6.5</v>
      </c>
      <c r="J15" s="331" t="s">
        <v>552</v>
      </c>
      <c r="K15" s="48">
        <v>4.5</v>
      </c>
      <c r="L15" s="69"/>
      <c r="M15" s="48"/>
      <c r="N15" s="18" t="s">
        <v>17</v>
      </c>
      <c r="O15" s="18"/>
      <c r="P15" s="3">
        <f t="shared" si="0"/>
        <v>17.5</v>
      </c>
      <c r="R15" s="343"/>
      <c r="S15" s="344"/>
      <c r="T15" s="344"/>
      <c r="U15" s="345"/>
    </row>
    <row r="16" spans="1:22" ht="18">
      <c r="A16" s="101" t="s">
        <v>244</v>
      </c>
      <c r="B16" s="301"/>
      <c r="C16" s="314"/>
      <c r="D16" s="329" t="s">
        <v>553</v>
      </c>
      <c r="E16" s="314">
        <v>5</v>
      </c>
      <c r="F16" s="329" t="s">
        <v>553</v>
      </c>
      <c r="G16" s="314">
        <v>5</v>
      </c>
      <c r="H16" s="301" t="s">
        <v>533</v>
      </c>
      <c r="I16" s="314">
        <v>9.5</v>
      </c>
      <c r="J16" s="18" t="s">
        <v>554</v>
      </c>
      <c r="K16" s="48">
        <v>3</v>
      </c>
      <c r="L16" s="69"/>
      <c r="M16" s="48"/>
      <c r="N16" s="18" t="s">
        <v>17</v>
      </c>
      <c r="O16" s="18"/>
      <c r="P16" s="3">
        <f t="shared" si="0"/>
        <v>22.5</v>
      </c>
      <c r="R16" s="299" t="s">
        <v>74</v>
      </c>
      <c r="S16" s="299"/>
      <c r="T16" s="299" t="s">
        <v>75</v>
      </c>
      <c r="U16" s="299"/>
      <c r="V16" s="300"/>
    </row>
    <row r="17" spans="1:22" ht="18">
      <c r="A17" s="128" t="s">
        <v>257</v>
      </c>
      <c r="B17" s="69"/>
      <c r="C17" s="18"/>
      <c r="D17" s="50" t="s">
        <v>555</v>
      </c>
      <c r="E17" s="18"/>
      <c r="F17" s="303" t="s">
        <v>555</v>
      </c>
      <c r="G17" s="18"/>
      <c r="H17" s="303" t="s">
        <v>555</v>
      </c>
      <c r="I17" s="18"/>
      <c r="J17" s="50" t="s">
        <v>555</v>
      </c>
      <c r="K17" s="18"/>
      <c r="L17" s="303" t="s">
        <v>555</v>
      </c>
      <c r="M17" s="48"/>
      <c r="N17" s="18" t="s">
        <v>17</v>
      </c>
      <c r="O17" s="18"/>
      <c r="P17" s="3">
        <f t="shared" si="0"/>
        <v>0</v>
      </c>
      <c r="R17" s="299"/>
      <c r="S17" s="299"/>
      <c r="T17" s="299"/>
      <c r="U17" s="299"/>
      <c r="V17" s="300"/>
    </row>
    <row r="18" spans="1:22" ht="43.15" customHeight="1">
      <c r="A18" s="128" t="s">
        <v>440</v>
      </c>
      <c r="B18" s="326" t="s">
        <v>556</v>
      </c>
      <c r="C18" s="314">
        <v>5</v>
      </c>
      <c r="D18" s="329" t="s">
        <v>557</v>
      </c>
      <c r="E18" s="314">
        <v>9.5</v>
      </c>
      <c r="F18" s="301" t="s">
        <v>558</v>
      </c>
      <c r="G18" s="314">
        <v>7.5</v>
      </c>
      <c r="H18" s="69"/>
      <c r="I18" s="314"/>
      <c r="J18" s="326" t="s">
        <v>26</v>
      </c>
      <c r="K18" s="314"/>
      <c r="L18" s="45" t="s">
        <v>26</v>
      </c>
      <c r="M18" s="48"/>
      <c r="N18" s="18" t="s">
        <v>17</v>
      </c>
      <c r="O18" s="18"/>
      <c r="P18" s="3">
        <f t="shared" si="0"/>
        <v>22</v>
      </c>
      <c r="R18" s="299"/>
      <c r="S18" s="299"/>
      <c r="T18" s="299"/>
      <c r="U18" s="299"/>
      <c r="V18" s="300"/>
    </row>
    <row r="19" spans="1:22" ht="41.45" customHeight="1">
      <c r="A19" s="128" t="s">
        <v>501</v>
      </c>
      <c r="B19" s="329" t="s">
        <v>559</v>
      </c>
      <c r="C19" s="314">
        <v>9.5</v>
      </c>
      <c r="D19" s="329"/>
      <c r="E19" s="314"/>
      <c r="F19" s="332" t="s">
        <v>560</v>
      </c>
      <c r="G19" s="314">
        <v>7</v>
      </c>
      <c r="H19" s="243"/>
      <c r="I19" s="314"/>
      <c r="J19" s="329" t="s">
        <v>561</v>
      </c>
      <c r="K19" s="314">
        <v>7.5</v>
      </c>
      <c r="L19" s="69"/>
      <c r="M19" s="48"/>
      <c r="N19" s="18" t="s">
        <v>17</v>
      </c>
      <c r="O19" s="18"/>
      <c r="P19" s="3">
        <f t="shared" si="0"/>
        <v>24</v>
      </c>
      <c r="R19" s="121"/>
      <c r="S19" s="121"/>
      <c r="T19" s="121"/>
      <c r="U19" s="121"/>
    </row>
    <row r="20" spans="1:22">
      <c r="A20" s="128" t="s">
        <v>562</v>
      </c>
      <c r="B20" s="45"/>
      <c r="C20" s="48"/>
      <c r="D20" s="45"/>
      <c r="E20" s="48"/>
      <c r="F20" s="45" t="s">
        <v>563</v>
      </c>
      <c r="G20" s="48">
        <v>9.5</v>
      </c>
      <c r="H20" s="45"/>
      <c r="I20" s="48"/>
      <c r="J20" s="332"/>
      <c r="K20" s="14"/>
      <c r="L20" s="301"/>
      <c r="M20" s="48"/>
      <c r="N20" s="18" t="s">
        <v>17</v>
      </c>
      <c r="O20" s="18"/>
      <c r="P20" s="3">
        <f t="shared" si="0"/>
        <v>9.5</v>
      </c>
      <c r="R20" s="121"/>
      <c r="S20" s="121"/>
      <c r="T20" s="121"/>
      <c r="U20" s="121"/>
    </row>
    <row r="21" spans="1:22" ht="36.75" customHeight="1">
      <c r="A21" s="45" t="s">
        <v>564</v>
      </c>
      <c r="B21" s="82"/>
      <c r="C21" s="18"/>
      <c r="D21" s="82"/>
      <c r="E21" s="18"/>
      <c r="F21" s="82" t="s">
        <v>565</v>
      </c>
      <c r="G21" s="18">
        <v>6</v>
      </c>
      <c r="H21" s="333" t="s">
        <v>566</v>
      </c>
      <c r="I21" s="18">
        <v>5</v>
      </c>
      <c r="J21" s="325" t="s">
        <v>548</v>
      </c>
      <c r="K21" s="314">
        <v>4</v>
      </c>
      <c r="L21" s="85"/>
      <c r="M21" s="18"/>
      <c r="N21" s="18" t="s">
        <v>17</v>
      </c>
      <c r="O21" s="18"/>
      <c r="P21" s="3">
        <f t="shared" si="0"/>
        <v>15</v>
      </c>
      <c r="R21" s="121"/>
      <c r="S21" s="121"/>
      <c r="T21" s="121"/>
      <c r="U21" s="121"/>
    </row>
    <row r="22" spans="1:22" ht="28.9">
      <c r="A22" s="45" t="s">
        <v>567</v>
      </c>
      <c r="B22" s="82"/>
      <c r="C22" s="18"/>
      <c r="D22" s="82"/>
      <c r="E22" s="18"/>
      <c r="F22" s="143" t="s">
        <v>568</v>
      </c>
      <c r="G22" s="18">
        <v>6</v>
      </c>
      <c r="H22" s="85" t="s">
        <v>569</v>
      </c>
      <c r="I22" s="18">
        <v>5</v>
      </c>
      <c r="J22" s="334" t="s">
        <v>548</v>
      </c>
      <c r="K22" s="314">
        <v>4</v>
      </c>
      <c r="L22" s="268"/>
      <c r="M22" s="18"/>
      <c r="N22" s="18" t="s">
        <v>17</v>
      </c>
      <c r="O22" s="18"/>
      <c r="P22" s="3">
        <f t="shared" si="0"/>
        <v>15</v>
      </c>
    </row>
    <row r="23" spans="1:22">
      <c r="A23" s="52" t="s">
        <v>95</v>
      </c>
      <c r="B23" s="3"/>
      <c r="C23" s="3">
        <f>SUM(C7:C14)</f>
        <v>27</v>
      </c>
      <c r="D23" s="3"/>
      <c r="E23" s="3">
        <f>SUM(E6:E22)</f>
        <v>48</v>
      </c>
      <c r="F23" s="3"/>
      <c r="G23" s="3">
        <f>SUM(G6:G22)</f>
        <v>71</v>
      </c>
      <c r="H23" s="3"/>
      <c r="I23" s="3">
        <f>SUM(I6:I22)</f>
        <v>57</v>
      </c>
      <c r="J23" s="3"/>
      <c r="K23" s="3">
        <f>SUM(K6:K22)</f>
        <v>55</v>
      </c>
      <c r="L23" s="3"/>
      <c r="M23" s="3">
        <f>SUM(M6:M22)</f>
        <v>28.5</v>
      </c>
      <c r="N23" s="3"/>
      <c r="O23" s="3">
        <f>SUM(O6:O22)</f>
        <v>0</v>
      </c>
      <c r="P23" s="3">
        <f>SUM(O23,M23,K23,I23,G23,E23,C23)</f>
        <v>286.5</v>
      </c>
    </row>
    <row r="24" spans="1:22">
      <c r="C24">
        <f>C23*20</f>
        <v>540</v>
      </c>
      <c r="G24">
        <f>G23*20</f>
        <v>1420</v>
      </c>
      <c r="I24">
        <f>I23*20</f>
        <v>1140</v>
      </c>
      <c r="K24">
        <f>K23*20</f>
        <v>1100</v>
      </c>
      <c r="M24">
        <f>M23*20</f>
        <v>570</v>
      </c>
    </row>
    <row r="26" spans="1:22" ht="15" thickBot="1">
      <c r="A26" s="264" t="s">
        <v>96</v>
      </c>
      <c r="B26" s="264"/>
      <c r="C26" s="117"/>
      <c r="D26" s="121"/>
    </row>
    <row r="27" spans="1:22" ht="18.600000000000001" thickBot="1">
      <c r="A27" s="145" t="s">
        <v>97</v>
      </c>
      <c r="D27" s="434" t="s">
        <v>98</v>
      </c>
      <c r="E27" s="435"/>
      <c r="F27" s="435"/>
      <c r="G27" s="435"/>
      <c r="H27" s="435"/>
      <c r="I27" s="435"/>
      <c r="J27" s="436"/>
    </row>
    <row r="28" spans="1:22" ht="18">
      <c r="A28" s="146" t="s">
        <v>99</v>
      </c>
      <c r="D28" s="174" t="s">
        <v>100</v>
      </c>
      <c r="E28" s="175"/>
      <c r="F28" s="175" t="s">
        <v>101</v>
      </c>
      <c r="G28" s="175"/>
      <c r="H28" s="175" t="s">
        <v>102</v>
      </c>
      <c r="I28" s="175"/>
      <c r="J28" s="176" t="s">
        <v>103</v>
      </c>
    </row>
    <row r="29" spans="1:22" ht="18.600000000000001" thickBot="1">
      <c r="A29" s="147" t="s">
        <v>104</v>
      </c>
      <c r="D29" s="177" t="s">
        <v>105</v>
      </c>
      <c r="E29" s="178"/>
      <c r="F29" s="178" t="s">
        <v>106</v>
      </c>
      <c r="G29" s="178"/>
      <c r="H29" s="178" t="s">
        <v>107</v>
      </c>
      <c r="I29" s="178"/>
      <c r="J29" s="179" t="s">
        <v>108</v>
      </c>
      <c r="Q29">
        <f>P23*20</f>
        <v>5730</v>
      </c>
    </row>
    <row r="30" spans="1:22" ht="18.600000000000001" thickBot="1">
      <c r="A30" s="148" t="s">
        <v>109</v>
      </c>
      <c r="D30" s="175" t="s">
        <v>110</v>
      </c>
      <c r="E30" s="175"/>
      <c r="F30" s="175"/>
      <c r="G30" s="175"/>
      <c r="H30" s="175"/>
      <c r="I30" s="175"/>
      <c r="J30" s="175"/>
    </row>
    <row r="31" spans="1:22" ht="18.600000000000001" thickBot="1">
      <c r="A31" s="149" t="s">
        <v>111</v>
      </c>
      <c r="D31" s="434" t="s">
        <v>112</v>
      </c>
      <c r="E31" s="435"/>
      <c r="F31" s="435"/>
      <c r="G31" s="435"/>
      <c r="H31" s="435"/>
      <c r="I31" s="435"/>
      <c r="J31" s="436"/>
    </row>
    <row r="32" spans="1:22" ht="18">
      <c r="A32" s="150" t="s">
        <v>113</v>
      </c>
      <c r="D32" s="437" t="s">
        <v>114</v>
      </c>
      <c r="E32" s="438"/>
      <c r="F32" s="438"/>
      <c r="G32" s="438"/>
      <c r="H32" s="438"/>
      <c r="I32" s="438"/>
      <c r="J32" s="439"/>
    </row>
    <row r="33" spans="1:20" ht="18">
      <c r="A33" s="151" t="s">
        <v>115</v>
      </c>
      <c r="D33" s="437" t="s">
        <v>116</v>
      </c>
      <c r="E33" s="438"/>
      <c r="F33" s="438"/>
      <c r="G33" s="438"/>
      <c r="H33" s="438"/>
      <c r="I33" s="438"/>
      <c r="J33" s="439"/>
      <c r="T33" t="s">
        <v>110</v>
      </c>
    </row>
    <row r="34" spans="1:20" ht="18">
      <c r="A34" s="152" t="s">
        <v>117</v>
      </c>
      <c r="D34" s="437" t="s">
        <v>118</v>
      </c>
      <c r="E34" s="438"/>
      <c r="F34" s="438"/>
      <c r="G34" s="438"/>
      <c r="H34" s="438"/>
      <c r="I34" s="438"/>
      <c r="J34" s="439"/>
    </row>
    <row r="35" spans="1:20" ht="15" thickBot="1">
      <c r="D35" s="431" t="s">
        <v>119</v>
      </c>
      <c r="E35" s="432"/>
      <c r="F35" s="432"/>
      <c r="G35" s="432"/>
      <c r="H35" s="432"/>
      <c r="I35" s="432"/>
      <c r="J35" s="433"/>
    </row>
  </sheetData>
  <mergeCells count="6">
    <mergeCell ref="D35:J35"/>
    <mergeCell ref="D27:J27"/>
    <mergeCell ref="D31:J31"/>
    <mergeCell ref="D32:J32"/>
    <mergeCell ref="D33:J33"/>
    <mergeCell ref="D34:J34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B469-3197-4757-9093-F5672E244548}">
  <sheetPr>
    <tabColor theme="9"/>
  </sheetPr>
  <dimension ref="A1:V36"/>
  <sheetViews>
    <sheetView zoomScale="70" zoomScaleNormal="70" workbookViewId="0">
      <selection activeCell="I20" sqref="I20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11.14062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46132</v>
      </c>
      <c r="C2" s="6"/>
      <c r="D2" s="5">
        <v>46133</v>
      </c>
      <c r="E2" s="6"/>
      <c r="F2" s="5">
        <v>46134</v>
      </c>
      <c r="G2" s="6"/>
      <c r="H2" s="5">
        <v>46135</v>
      </c>
      <c r="I2" s="6"/>
      <c r="J2" s="5">
        <v>46136</v>
      </c>
      <c r="K2" s="6"/>
      <c r="L2" s="5">
        <v>46137</v>
      </c>
      <c r="M2" s="6"/>
      <c r="N2" s="5">
        <v>46138</v>
      </c>
      <c r="O2" s="7"/>
      <c r="P2" s="3"/>
    </row>
    <row r="3" spans="1:22" ht="93.6" customHeight="1">
      <c r="A3" s="8" t="s">
        <v>9</v>
      </c>
      <c r="B3" s="62" t="s">
        <v>570</v>
      </c>
      <c r="C3" s="10"/>
      <c r="D3" s="62" t="s">
        <v>571</v>
      </c>
      <c r="E3" s="10"/>
      <c r="F3" s="62" t="s">
        <v>572</v>
      </c>
      <c r="G3" s="11"/>
      <c r="H3" s="62" t="s">
        <v>573</v>
      </c>
      <c r="I3" s="10"/>
      <c r="J3" s="62" t="s">
        <v>574</v>
      </c>
      <c r="K3" s="10"/>
      <c r="L3" s="62" t="s">
        <v>575</v>
      </c>
      <c r="M3" s="13"/>
      <c r="N3" s="9"/>
      <c r="O3" s="15"/>
      <c r="P3" s="3"/>
    </row>
    <row r="4" spans="1:22">
      <c r="A4" s="82" t="s">
        <v>14</v>
      </c>
      <c r="B4" s="294" t="s">
        <v>576</v>
      </c>
      <c r="C4" s="18">
        <v>8</v>
      </c>
      <c r="D4" s="18" t="s">
        <v>577</v>
      </c>
      <c r="E4" s="18">
        <v>8.5</v>
      </c>
      <c r="F4" s="18" t="s">
        <v>578</v>
      </c>
      <c r="G4" s="18">
        <v>9.5</v>
      </c>
      <c r="H4" s="18" t="s">
        <v>340</v>
      </c>
      <c r="I4" s="18">
        <v>11.5</v>
      </c>
      <c r="J4" s="18" t="s">
        <v>579</v>
      </c>
      <c r="K4" s="18">
        <v>8</v>
      </c>
      <c r="L4" s="289"/>
      <c r="M4" s="18"/>
      <c r="N4" s="18"/>
      <c r="O4" s="18"/>
      <c r="P4" s="322">
        <f t="shared" ref="P4:P5" si="0">SUM(O4,M4,K4,I4,G4,E4,C4)</f>
        <v>45.5</v>
      </c>
    </row>
    <row r="5" spans="1:22" ht="28.9">
      <c r="A5" s="45" t="s">
        <v>18</v>
      </c>
      <c r="B5" s="18" t="s">
        <v>15</v>
      </c>
      <c r="C5" s="18">
        <v>8</v>
      </c>
      <c r="D5" s="18" t="s">
        <v>580</v>
      </c>
      <c r="E5" s="18">
        <v>8</v>
      </c>
      <c r="F5" s="18" t="s">
        <v>16</v>
      </c>
      <c r="G5" s="18">
        <v>8</v>
      </c>
      <c r="H5" s="18" t="s">
        <v>16</v>
      </c>
      <c r="I5" s="18">
        <v>8</v>
      </c>
      <c r="J5" s="18" t="s">
        <v>581</v>
      </c>
      <c r="K5" s="18">
        <v>8</v>
      </c>
      <c r="L5" s="289"/>
      <c r="M5" s="18"/>
      <c r="N5" s="18"/>
      <c r="O5" s="18"/>
      <c r="P5" s="322">
        <f t="shared" si="0"/>
        <v>40</v>
      </c>
    </row>
    <row r="6" spans="1:22" ht="28.9">
      <c r="A6" s="163" t="s">
        <v>214</v>
      </c>
      <c r="B6" s="50" t="s">
        <v>582</v>
      </c>
      <c r="C6" s="48">
        <v>7.5</v>
      </c>
      <c r="D6" s="45" t="s">
        <v>583</v>
      </c>
      <c r="E6" s="48">
        <v>5</v>
      </c>
      <c r="F6" s="45" t="s">
        <v>584</v>
      </c>
      <c r="G6" s="48">
        <v>5</v>
      </c>
      <c r="H6" s="45" t="s">
        <v>585</v>
      </c>
      <c r="I6" s="48">
        <v>6.5</v>
      </c>
      <c r="J6" s="45"/>
      <c r="K6" s="48"/>
      <c r="L6" s="45"/>
      <c r="M6" s="48"/>
      <c r="N6" s="45"/>
      <c r="O6" s="18"/>
      <c r="P6" s="3">
        <f>SUM(O6,M6,K6,I6,G6,E6,C6)</f>
        <v>24</v>
      </c>
    </row>
    <row r="7" spans="1:22" ht="28.9">
      <c r="A7" s="163" t="s">
        <v>34</v>
      </c>
      <c r="B7" s="56" t="s">
        <v>586</v>
      </c>
      <c r="C7" s="48">
        <v>8</v>
      </c>
      <c r="D7" s="56" t="s">
        <v>587</v>
      </c>
      <c r="E7" s="48">
        <v>8</v>
      </c>
      <c r="F7" s="56" t="s">
        <v>586</v>
      </c>
      <c r="G7" s="48">
        <v>8</v>
      </c>
      <c r="H7" s="45"/>
      <c r="I7" s="48"/>
      <c r="J7" s="56"/>
      <c r="K7" s="48"/>
      <c r="L7" s="38"/>
      <c r="M7" s="47"/>
      <c r="N7" s="18"/>
      <c r="O7" s="18"/>
      <c r="P7" s="3">
        <f t="shared" ref="P7:P21" si="1">SUM(O7,M7,K7,I7,G7,E7,C7)</f>
        <v>24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</v>
      </c>
      <c r="B8" s="48" t="s">
        <v>350</v>
      </c>
      <c r="C8" s="48">
        <v>6.5</v>
      </c>
      <c r="D8" s="298" t="s">
        <v>526</v>
      </c>
      <c r="E8" s="48">
        <v>6.5</v>
      </c>
      <c r="F8" s="48" t="s">
        <v>588</v>
      </c>
      <c r="G8" s="48">
        <v>6</v>
      </c>
      <c r="H8" s="48" t="s">
        <v>589</v>
      </c>
      <c r="I8" s="48"/>
      <c r="J8" s="45" t="s">
        <v>590</v>
      </c>
      <c r="K8" s="48">
        <v>5</v>
      </c>
      <c r="L8" s="45"/>
      <c r="M8" s="48"/>
      <c r="N8" s="18"/>
      <c r="O8" s="18"/>
      <c r="P8" s="3">
        <f t="shared" si="1"/>
        <v>24</v>
      </c>
      <c r="R8" s="121"/>
      <c r="S8" s="121"/>
      <c r="T8" s="260"/>
      <c r="U8" s="121" t="s">
        <v>39</v>
      </c>
    </row>
    <row r="9" spans="1:22" ht="28.9">
      <c r="A9" s="128" t="s">
        <v>76</v>
      </c>
      <c r="B9" s="45" t="s">
        <v>591</v>
      </c>
      <c r="C9" s="48">
        <v>4.5</v>
      </c>
      <c r="D9" s="45" t="s">
        <v>591</v>
      </c>
      <c r="E9" s="48">
        <v>4.5</v>
      </c>
      <c r="F9" s="45"/>
      <c r="G9" s="48"/>
      <c r="H9" s="45" t="s">
        <v>591</v>
      </c>
      <c r="I9" s="48">
        <v>4.5</v>
      </c>
      <c r="J9" s="45" t="s">
        <v>592</v>
      </c>
      <c r="K9" s="48">
        <v>5.5</v>
      </c>
      <c r="L9" s="45" t="s">
        <v>584</v>
      </c>
      <c r="M9" s="48">
        <v>5</v>
      </c>
      <c r="N9" s="18"/>
      <c r="O9" s="18"/>
      <c r="P9" s="3">
        <f t="shared" si="1"/>
        <v>24</v>
      </c>
      <c r="R9" s="121"/>
      <c r="S9" s="121"/>
      <c r="T9" s="260"/>
      <c r="U9" s="121" t="s">
        <v>45</v>
      </c>
    </row>
    <row r="10" spans="1:22">
      <c r="A10" s="45" t="s">
        <v>593</v>
      </c>
      <c r="B10" s="56" t="s">
        <v>594</v>
      </c>
      <c r="C10" s="48">
        <v>9.5</v>
      </c>
      <c r="D10" s="56"/>
      <c r="E10" s="48"/>
      <c r="F10" s="56" t="s">
        <v>595</v>
      </c>
      <c r="G10" s="48">
        <v>7.5</v>
      </c>
      <c r="H10" s="48"/>
      <c r="I10" s="48"/>
      <c r="J10" s="45" t="s">
        <v>596</v>
      </c>
      <c r="K10" s="48">
        <v>5.5</v>
      </c>
      <c r="L10" s="38"/>
      <c r="M10" s="48"/>
      <c r="N10" s="18"/>
      <c r="O10" s="18"/>
      <c r="P10" s="3">
        <f>SUM(O10,M10,K10,I10,G10,E10,C10)</f>
        <v>22.5</v>
      </c>
      <c r="R10" s="121"/>
      <c r="S10" s="121"/>
      <c r="T10" s="121"/>
      <c r="U10" s="121" t="s">
        <v>50</v>
      </c>
    </row>
    <row r="11" spans="1:22" ht="28.9">
      <c r="A11" s="163" t="s">
        <v>228</v>
      </c>
      <c r="B11" s="45" t="s">
        <v>597</v>
      </c>
      <c r="C11" s="48">
        <v>5</v>
      </c>
      <c r="D11" s="45"/>
      <c r="E11" s="48"/>
      <c r="F11" s="50" t="s">
        <v>598</v>
      </c>
      <c r="G11" s="48">
        <v>5</v>
      </c>
      <c r="H11" s="45" t="s">
        <v>599</v>
      </c>
      <c r="I11" s="48">
        <v>5</v>
      </c>
      <c r="J11" s="85"/>
      <c r="K11" s="48"/>
      <c r="L11" s="56" t="s">
        <v>600</v>
      </c>
      <c r="M11" s="48">
        <v>7.5</v>
      </c>
      <c r="N11" s="18"/>
      <c r="O11" s="18"/>
      <c r="P11" s="3">
        <f>SUM(O11,M11,K11,I11,G11,E11,C11)</f>
        <v>22.5</v>
      </c>
      <c r="R11" s="121"/>
      <c r="S11" s="121"/>
      <c r="T11" s="121"/>
      <c r="U11" s="121" t="s">
        <v>601</v>
      </c>
    </row>
    <row r="12" spans="1:22">
      <c r="A12" s="60" t="s">
        <v>229</v>
      </c>
      <c r="B12" s="50"/>
      <c r="C12" s="48"/>
      <c r="D12" s="60"/>
      <c r="E12" s="48"/>
      <c r="F12" s="318"/>
      <c r="G12" s="48"/>
      <c r="H12" s="60" t="s">
        <v>602</v>
      </c>
      <c r="I12" s="48">
        <v>7.5</v>
      </c>
      <c r="J12" s="56" t="s">
        <v>603</v>
      </c>
      <c r="K12" s="48">
        <v>7.5</v>
      </c>
      <c r="L12" s="56" t="s">
        <v>604</v>
      </c>
      <c r="M12" s="48">
        <v>7.5</v>
      </c>
      <c r="N12" s="18"/>
      <c r="O12" s="18"/>
      <c r="P12" s="3">
        <f t="shared" ref="P12:P13" si="2">SUM(O12,M12,K12,I12,G12,E12,C12)</f>
        <v>22.5</v>
      </c>
      <c r="R12" s="121"/>
      <c r="S12" s="121"/>
      <c r="T12" s="121"/>
      <c r="U12" s="121" t="s">
        <v>58</v>
      </c>
    </row>
    <row r="13" spans="1:22" ht="28.9">
      <c r="A13" s="316" t="s">
        <v>234</v>
      </c>
      <c r="B13" s="69"/>
      <c r="C13" s="48"/>
      <c r="D13" s="69"/>
      <c r="E13" s="48"/>
      <c r="F13" s="101" t="s">
        <v>605</v>
      </c>
      <c r="G13" s="18">
        <v>7.5</v>
      </c>
      <c r="H13" s="157" t="s">
        <v>606</v>
      </c>
      <c r="I13" s="48">
        <v>6.5</v>
      </c>
      <c r="J13" s="319" t="s">
        <v>607</v>
      </c>
      <c r="K13" s="48">
        <v>4.5</v>
      </c>
      <c r="L13" s="45" t="s">
        <v>608</v>
      </c>
      <c r="M13" s="48">
        <v>5.5</v>
      </c>
      <c r="N13" s="18"/>
      <c r="O13" s="18"/>
      <c r="P13" s="3">
        <f t="shared" si="2"/>
        <v>24</v>
      </c>
      <c r="R13" s="121"/>
      <c r="S13" s="121"/>
      <c r="T13" s="121"/>
      <c r="U13" s="121"/>
    </row>
    <row r="14" spans="1:22" ht="28.9">
      <c r="A14" s="101" t="s">
        <v>609</v>
      </c>
      <c r="B14" s="101" t="s">
        <v>605</v>
      </c>
      <c r="C14" s="18">
        <v>7.5</v>
      </c>
      <c r="D14" s="101" t="s">
        <v>610</v>
      </c>
      <c r="E14" s="18">
        <v>7</v>
      </c>
      <c r="F14" s="85"/>
      <c r="G14" s="48"/>
      <c r="H14" s="321" t="s">
        <v>611</v>
      </c>
      <c r="I14" s="48">
        <v>5</v>
      </c>
      <c r="J14" s="266" t="s">
        <v>612</v>
      </c>
      <c r="K14" s="48">
        <v>4.5</v>
      </c>
      <c r="L14" s="266"/>
      <c r="M14" s="48"/>
      <c r="N14" s="18"/>
      <c r="O14" s="18"/>
      <c r="P14" s="3">
        <f>SUM(O14,M14,K14,I14,G14,E14,C14)</f>
        <v>24</v>
      </c>
      <c r="R14" s="121"/>
      <c r="S14" s="121"/>
      <c r="T14" s="121"/>
      <c r="U14" s="121"/>
    </row>
    <row r="15" spans="1:22" ht="28.9">
      <c r="A15" s="101" t="s">
        <v>613</v>
      </c>
      <c r="B15" s="101"/>
      <c r="C15" s="18"/>
      <c r="D15" s="101"/>
      <c r="E15" s="18"/>
      <c r="F15" s="85"/>
      <c r="G15" s="48"/>
      <c r="H15" s="85"/>
      <c r="I15" s="48"/>
      <c r="J15" s="266" t="s">
        <v>612</v>
      </c>
      <c r="K15" s="48">
        <v>4.5</v>
      </c>
      <c r="L15" s="266"/>
      <c r="M15" s="48"/>
      <c r="N15" s="18"/>
      <c r="O15" s="18"/>
      <c r="P15" s="3">
        <f t="shared" si="1"/>
        <v>4.5</v>
      </c>
      <c r="R15" s="121"/>
      <c r="S15" s="121"/>
      <c r="T15" s="121"/>
      <c r="U15" s="121"/>
    </row>
    <row r="16" spans="1:22" ht="29.45">
      <c r="A16" s="101" t="s">
        <v>244</v>
      </c>
      <c r="B16" s="101"/>
      <c r="C16" s="18"/>
      <c r="D16" s="101"/>
      <c r="E16" s="18"/>
      <c r="F16" s="85"/>
      <c r="G16" s="48"/>
      <c r="H16" s="85"/>
      <c r="I16" s="48"/>
      <c r="J16" s="266" t="s">
        <v>612</v>
      </c>
      <c r="K16" s="48">
        <v>4.5</v>
      </c>
      <c r="L16" s="266"/>
      <c r="M16" s="48"/>
      <c r="N16" s="18"/>
      <c r="O16" s="18"/>
      <c r="P16" s="3">
        <f t="shared" ref="P16" si="3">SUM(O16,M16,K16,I16,G16,E16,C16)</f>
        <v>4.5</v>
      </c>
      <c r="R16" s="299" t="s">
        <v>74</v>
      </c>
      <c r="S16" s="299"/>
      <c r="T16" s="299" t="s">
        <v>75</v>
      </c>
      <c r="U16" s="299"/>
      <c r="V16" s="300"/>
    </row>
    <row r="17" spans="1:21" ht="28.9">
      <c r="A17" s="128" t="s">
        <v>614</v>
      </c>
      <c r="B17" s="45"/>
      <c r="C17" s="48"/>
      <c r="D17" s="60"/>
      <c r="E17" s="48"/>
      <c r="F17" s="45" t="s">
        <v>615</v>
      </c>
      <c r="G17" s="48">
        <v>5</v>
      </c>
      <c r="H17" s="50" t="s">
        <v>616</v>
      </c>
      <c r="I17" s="48">
        <v>5.5</v>
      </c>
      <c r="J17" s="45" t="s">
        <v>617</v>
      </c>
      <c r="K17" s="48">
        <v>5.5</v>
      </c>
      <c r="L17" s="45" t="s">
        <v>599</v>
      </c>
      <c r="M17" s="48">
        <v>5</v>
      </c>
      <c r="N17" s="18"/>
      <c r="O17" s="18"/>
      <c r="P17" s="3">
        <f t="shared" si="1"/>
        <v>21</v>
      </c>
      <c r="R17" s="121"/>
      <c r="S17" s="121"/>
      <c r="T17" s="121"/>
      <c r="U17" s="121"/>
    </row>
    <row r="18" spans="1:21">
      <c r="A18" s="128" t="s">
        <v>618</v>
      </c>
      <c r="B18" s="60"/>
      <c r="C18" s="48"/>
      <c r="D18" s="56" t="s">
        <v>619</v>
      </c>
      <c r="E18" s="48">
        <v>9</v>
      </c>
      <c r="F18" s="318"/>
      <c r="G18" s="48"/>
      <c r="H18" s="56" t="s">
        <v>620</v>
      </c>
      <c r="I18" s="48">
        <v>7.5</v>
      </c>
      <c r="J18" s="56" t="s">
        <v>595</v>
      </c>
      <c r="K18" s="48">
        <v>7.5</v>
      </c>
      <c r="L18" s="273"/>
      <c r="M18" s="48"/>
      <c r="N18" s="18"/>
      <c r="O18" s="18"/>
      <c r="P18" s="3">
        <f t="shared" si="1"/>
        <v>24</v>
      </c>
      <c r="R18" s="121"/>
      <c r="S18" s="121"/>
      <c r="T18" s="121"/>
      <c r="U18" s="121"/>
    </row>
    <row r="19" spans="1:21">
      <c r="A19" s="45" t="s">
        <v>562</v>
      </c>
      <c r="B19" s="45" t="s">
        <v>621</v>
      </c>
      <c r="C19" s="48">
        <v>5.5</v>
      </c>
      <c r="D19" s="45" t="s">
        <v>621</v>
      </c>
      <c r="E19" s="48">
        <v>5.5</v>
      </c>
      <c r="F19" s="45" t="s">
        <v>621</v>
      </c>
      <c r="G19" s="48">
        <v>5.5</v>
      </c>
      <c r="H19" s="45"/>
      <c r="I19" s="48"/>
      <c r="J19" s="45" t="s">
        <v>26</v>
      </c>
      <c r="K19" s="48"/>
      <c r="L19" s="45"/>
      <c r="M19" s="48"/>
      <c r="N19" s="18"/>
      <c r="O19" s="18"/>
      <c r="P19" s="3">
        <f t="shared" si="1"/>
        <v>16.5</v>
      </c>
      <c r="R19" s="121"/>
      <c r="S19" s="121"/>
      <c r="T19" s="121"/>
      <c r="U19" s="121"/>
    </row>
    <row r="20" spans="1:21" ht="47.45" customHeight="1">
      <c r="A20" s="45" t="s">
        <v>622</v>
      </c>
      <c r="B20" s="69"/>
      <c r="C20" s="18"/>
      <c r="D20" s="50" t="s">
        <v>623</v>
      </c>
      <c r="E20" s="18">
        <v>6.5</v>
      </c>
      <c r="F20" s="303"/>
      <c r="G20" s="18"/>
      <c r="H20" s="303"/>
      <c r="I20" s="18"/>
      <c r="J20" s="101" t="s">
        <v>624</v>
      </c>
      <c r="K20" s="18">
        <v>7.5</v>
      </c>
      <c r="L20" s="303"/>
      <c r="M20" s="18"/>
      <c r="N20" s="18"/>
      <c r="O20" s="18"/>
      <c r="P20" s="3">
        <f t="shared" si="1"/>
        <v>14</v>
      </c>
      <c r="R20" s="121"/>
      <c r="S20" s="121"/>
      <c r="T20" s="121"/>
      <c r="U20" s="121"/>
    </row>
    <row r="21" spans="1:21" ht="28.9">
      <c r="A21" s="45" t="s">
        <v>625</v>
      </c>
      <c r="B21" s="50"/>
      <c r="C21" s="48"/>
      <c r="D21" s="305"/>
      <c r="E21" s="18"/>
      <c r="F21" s="306" t="s">
        <v>626</v>
      </c>
      <c r="G21" s="18">
        <v>8.5</v>
      </c>
      <c r="H21" s="306" t="s">
        <v>627</v>
      </c>
      <c r="I21" s="18">
        <v>6.5</v>
      </c>
      <c r="J21" s="273"/>
      <c r="K21" s="18"/>
      <c r="L21" s="273"/>
      <c r="M21" s="18"/>
      <c r="N21" s="18"/>
      <c r="O21" s="18"/>
      <c r="P21" s="3">
        <f t="shared" si="1"/>
        <v>15</v>
      </c>
    </row>
    <row r="22" spans="1:21">
      <c r="A22" s="52" t="s">
        <v>95</v>
      </c>
      <c r="B22" s="3"/>
      <c r="C22" s="3">
        <f>SUM(C6:C21)</f>
        <v>54</v>
      </c>
      <c r="D22" s="3"/>
      <c r="E22" s="3">
        <f>SUM(E6:E21)</f>
        <v>52</v>
      </c>
      <c r="F22" s="3"/>
      <c r="G22" s="3">
        <f>SUM(G6:G21)</f>
        <v>58</v>
      </c>
      <c r="H22" s="3"/>
      <c r="I22" s="3">
        <f>SUM(I6:I21)</f>
        <v>54.5</v>
      </c>
      <c r="J22" s="3"/>
      <c r="K22" s="3">
        <f>SUM(K6:K21)</f>
        <v>62</v>
      </c>
      <c r="L22" s="3"/>
      <c r="M22" s="3">
        <f>SUM(M6:M21)</f>
        <v>30.5</v>
      </c>
      <c r="N22" s="3"/>
      <c r="O22" s="3">
        <f>SUM(O6:O21)</f>
        <v>0</v>
      </c>
      <c r="P22" s="3">
        <f>SUM(P6:P21)</f>
        <v>311</v>
      </c>
      <c r="Q22">
        <f>SUM(C22,E22,G22,I22,K22,M22,O22)</f>
        <v>311</v>
      </c>
    </row>
    <row r="23" spans="1:21">
      <c r="C23">
        <f>C22*20</f>
        <v>1080</v>
      </c>
      <c r="E23">
        <f>E22*20</f>
        <v>1040</v>
      </c>
      <c r="G23">
        <f>G22*20</f>
        <v>1160</v>
      </c>
      <c r="I23">
        <f>I22*20</f>
        <v>1090</v>
      </c>
      <c r="K23">
        <f>K22*20</f>
        <v>1240</v>
      </c>
      <c r="M23">
        <f>M22*20</f>
        <v>610</v>
      </c>
      <c r="O23">
        <f>O22*20</f>
        <v>0</v>
      </c>
      <c r="P23" s="323">
        <f>SUM(M23,K23,I23,G23,E23,C23)</f>
        <v>6220</v>
      </c>
    </row>
    <row r="25" spans="1:21" ht="15" thickBot="1">
      <c r="A25" s="264" t="s">
        <v>96</v>
      </c>
      <c r="B25" s="264"/>
      <c r="C25" s="117"/>
      <c r="D25" s="121"/>
    </row>
    <row r="26" spans="1:21" ht="18.600000000000001" thickBot="1">
      <c r="A26" s="145" t="s">
        <v>97</v>
      </c>
      <c r="D26" s="440" t="s">
        <v>98</v>
      </c>
      <c r="E26" s="441"/>
      <c r="F26" s="441"/>
      <c r="G26" s="441"/>
      <c r="H26" s="441"/>
      <c r="I26" s="441"/>
      <c r="J26" s="442"/>
      <c r="Q26">
        <f>P22*20</f>
        <v>6220</v>
      </c>
    </row>
    <row r="27" spans="1:21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1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21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1" ht="18.600000000000001" thickBot="1">
      <c r="A30" s="149" t="s">
        <v>111</v>
      </c>
      <c r="D30" s="440" t="s">
        <v>112</v>
      </c>
      <c r="E30" s="441"/>
      <c r="F30" s="441"/>
      <c r="G30" s="441"/>
      <c r="H30" s="441"/>
      <c r="I30" s="441"/>
      <c r="J30" s="442"/>
    </row>
    <row r="31" spans="1:21" ht="18">
      <c r="A31" s="150" t="s">
        <v>113</v>
      </c>
      <c r="D31" s="443" t="s">
        <v>114</v>
      </c>
      <c r="E31" s="444"/>
      <c r="F31" s="444"/>
      <c r="G31" s="444"/>
      <c r="H31" s="444"/>
      <c r="I31" s="444"/>
      <c r="J31" s="445"/>
    </row>
    <row r="32" spans="1:21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T32" t="s">
        <v>110</v>
      </c>
    </row>
    <row r="33" spans="1:10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10" ht="15" thickBot="1">
      <c r="D34" s="431" t="s">
        <v>119</v>
      </c>
      <c r="E34" s="432"/>
      <c r="F34" s="432"/>
      <c r="G34" s="432"/>
      <c r="H34" s="432"/>
      <c r="I34" s="432"/>
      <c r="J34" s="433"/>
    </row>
    <row r="36" spans="1:10" ht="15" thickBot="1">
      <c r="D36" s="431" t="s">
        <v>119</v>
      </c>
      <c r="E36" s="432"/>
      <c r="F36" s="432"/>
      <c r="G36" s="432"/>
      <c r="H36" s="432"/>
      <c r="I36" s="432"/>
      <c r="J36" s="433"/>
    </row>
  </sheetData>
  <mergeCells count="7">
    <mergeCell ref="D36:J36"/>
    <mergeCell ref="D26:J26"/>
    <mergeCell ref="D30:J30"/>
    <mergeCell ref="D31:J31"/>
    <mergeCell ref="D32:J32"/>
    <mergeCell ref="D33:J33"/>
    <mergeCell ref="D34:J3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9A00-5EF1-4283-97BE-AFC45182312C}">
  <sheetPr>
    <tabColor theme="9"/>
  </sheetPr>
  <dimension ref="A1:V33"/>
  <sheetViews>
    <sheetView zoomScale="70" zoomScaleNormal="70" workbookViewId="0">
      <selection activeCell="J13" sqref="J13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11.14062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46125</v>
      </c>
      <c r="C2" s="6"/>
      <c r="D2" s="5">
        <v>46126</v>
      </c>
      <c r="E2" s="6"/>
      <c r="F2" s="5">
        <v>46127</v>
      </c>
      <c r="G2" s="6"/>
      <c r="H2" s="5">
        <v>46128</v>
      </c>
      <c r="I2" s="6"/>
      <c r="J2" s="5">
        <v>46129</v>
      </c>
      <c r="K2" s="6"/>
      <c r="L2" s="5">
        <v>46130</v>
      </c>
      <c r="M2" s="6"/>
      <c r="N2" s="5">
        <v>46131</v>
      </c>
      <c r="O2" s="7"/>
      <c r="P2" s="3"/>
    </row>
    <row r="3" spans="1:22" ht="77.45" customHeight="1">
      <c r="A3" s="8" t="s">
        <v>9</v>
      </c>
      <c r="B3" s="111" t="s">
        <v>628</v>
      </c>
      <c r="C3" s="10"/>
      <c r="D3" s="161" t="s">
        <v>629</v>
      </c>
      <c r="E3" s="10"/>
      <c r="F3" s="9" t="s">
        <v>630</v>
      </c>
      <c r="G3" s="11"/>
      <c r="H3" s="12" t="s">
        <v>631</v>
      </c>
      <c r="I3" s="10"/>
      <c r="J3" s="12" t="s">
        <v>632</v>
      </c>
      <c r="K3" s="10"/>
      <c r="L3" s="62" t="s">
        <v>633</v>
      </c>
      <c r="M3" s="13"/>
      <c r="N3" s="9"/>
      <c r="O3" s="15"/>
      <c r="P3" s="3"/>
    </row>
    <row r="4" spans="1:22" ht="28.9">
      <c r="A4" s="82" t="s">
        <v>14</v>
      </c>
      <c r="B4" s="294" t="s">
        <v>634</v>
      </c>
      <c r="C4" s="18">
        <v>10</v>
      </c>
      <c r="D4" s="18" t="s">
        <v>635</v>
      </c>
      <c r="E4" s="18">
        <v>8</v>
      </c>
      <c r="F4" s="18" t="s">
        <v>636</v>
      </c>
      <c r="G4" s="18">
        <v>11</v>
      </c>
      <c r="H4" s="18" t="s">
        <v>637</v>
      </c>
      <c r="I4" s="18">
        <v>11</v>
      </c>
      <c r="J4" s="18" t="s">
        <v>638</v>
      </c>
      <c r="K4" s="18">
        <v>3</v>
      </c>
      <c r="L4" s="289"/>
      <c r="M4" s="18"/>
      <c r="N4" s="18"/>
      <c r="O4" s="18"/>
      <c r="P4" s="322">
        <f t="shared" ref="P4:P20" si="0">SUM(O4,M4,K4,I4,G4,E4,C4)</f>
        <v>43</v>
      </c>
    </row>
    <row r="5" spans="1:22">
      <c r="A5" s="45" t="s">
        <v>18</v>
      </c>
      <c r="B5" s="18" t="s">
        <v>15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639</v>
      </c>
      <c r="I5" s="18">
        <v>8</v>
      </c>
      <c r="J5" s="18" t="s">
        <v>15</v>
      </c>
      <c r="K5" s="18">
        <v>8</v>
      </c>
      <c r="L5" s="289"/>
      <c r="M5" s="18"/>
      <c r="N5" s="18"/>
      <c r="O5" s="18"/>
      <c r="P5" s="322">
        <f t="shared" si="0"/>
        <v>40</v>
      </c>
    </row>
    <row r="6" spans="1:22" ht="43.15">
      <c r="A6" s="163" t="s">
        <v>214</v>
      </c>
      <c r="B6" s="50" t="s">
        <v>640</v>
      </c>
      <c r="C6" s="48">
        <v>7</v>
      </c>
      <c r="D6" s="50" t="s">
        <v>641</v>
      </c>
      <c r="E6" s="48">
        <v>9.5</v>
      </c>
      <c r="F6" s="135" t="s">
        <v>26</v>
      </c>
      <c r="G6" s="48"/>
      <c r="H6" s="298" t="s">
        <v>26</v>
      </c>
      <c r="I6" s="48"/>
      <c r="J6" s="45" t="s">
        <v>54</v>
      </c>
      <c r="K6" s="48">
        <v>7.5</v>
      </c>
      <c r="L6" s="60" t="s">
        <v>595</v>
      </c>
      <c r="M6" s="48">
        <v>7.5</v>
      </c>
      <c r="N6" s="45"/>
      <c r="O6" s="18"/>
      <c r="P6" s="3">
        <f>SUM(O6,M6,K6,I6,G6,E6,C6)</f>
        <v>31.5</v>
      </c>
    </row>
    <row r="7" spans="1:22" ht="28.9">
      <c r="A7" s="163" t="s">
        <v>34</v>
      </c>
      <c r="B7" s="56" t="s">
        <v>603</v>
      </c>
      <c r="C7" s="48">
        <v>7.5</v>
      </c>
      <c r="D7" s="56" t="s">
        <v>642</v>
      </c>
      <c r="E7" s="48">
        <v>8</v>
      </c>
      <c r="F7" s="133" t="s">
        <v>643</v>
      </c>
      <c r="G7" s="48">
        <v>5</v>
      </c>
      <c r="H7" s="48" t="s">
        <v>644</v>
      </c>
      <c r="I7" s="48">
        <v>7</v>
      </c>
      <c r="J7" s="56" t="s">
        <v>246</v>
      </c>
      <c r="K7" s="48">
        <v>4</v>
      </c>
      <c r="L7" s="38"/>
      <c r="M7" s="47"/>
      <c r="N7" s="18"/>
      <c r="O7" s="18"/>
      <c r="P7" s="3">
        <f t="shared" si="0"/>
        <v>31.5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</v>
      </c>
      <c r="B8" s="48" t="s">
        <v>645</v>
      </c>
      <c r="C8" s="48">
        <v>7.5</v>
      </c>
      <c r="D8" s="298" t="s">
        <v>251</v>
      </c>
      <c r="E8" s="48">
        <v>6.5</v>
      </c>
      <c r="F8" s="48" t="s">
        <v>646</v>
      </c>
      <c r="G8" s="48">
        <v>8.5</v>
      </c>
      <c r="H8" s="38"/>
      <c r="I8" s="48"/>
      <c r="J8" s="135" t="s">
        <v>647</v>
      </c>
      <c r="K8" s="48">
        <v>5.5</v>
      </c>
      <c r="L8" s="45"/>
      <c r="M8" s="48"/>
      <c r="N8" s="18"/>
      <c r="O8" s="18"/>
      <c r="P8" s="3">
        <f t="shared" si="0"/>
        <v>28</v>
      </c>
      <c r="R8" s="121"/>
      <c r="S8" s="121"/>
      <c r="T8" s="260"/>
      <c r="U8" s="121" t="s">
        <v>39</v>
      </c>
    </row>
    <row r="9" spans="1:22" ht="43.15">
      <c r="A9" s="128" t="s">
        <v>76</v>
      </c>
      <c r="B9" s="48" t="s">
        <v>26</v>
      </c>
      <c r="C9" s="48"/>
      <c r="D9" s="48"/>
      <c r="E9" s="48"/>
      <c r="F9" s="240" t="s">
        <v>648</v>
      </c>
      <c r="G9" s="48">
        <v>9</v>
      </c>
      <c r="H9" s="48" t="s">
        <v>649</v>
      </c>
      <c r="I9" s="48">
        <v>7.5</v>
      </c>
      <c r="J9" s="36" t="s">
        <v>650</v>
      </c>
      <c r="K9" s="48">
        <v>4</v>
      </c>
      <c r="L9" s="45" t="s">
        <v>651</v>
      </c>
      <c r="M9" s="48">
        <v>5.5</v>
      </c>
      <c r="N9" s="18"/>
      <c r="O9" s="18"/>
      <c r="P9" s="3">
        <f t="shared" si="0"/>
        <v>26</v>
      </c>
      <c r="R9" s="121"/>
      <c r="S9" s="121"/>
      <c r="T9" s="260"/>
      <c r="U9" s="121" t="s">
        <v>45</v>
      </c>
    </row>
    <row r="10" spans="1:22" ht="28.9">
      <c r="A10" s="45" t="s">
        <v>593</v>
      </c>
      <c r="B10" s="48" t="s">
        <v>652</v>
      </c>
      <c r="C10" s="48">
        <v>5</v>
      </c>
      <c r="D10" s="60" t="s">
        <v>110</v>
      </c>
      <c r="E10" s="48"/>
      <c r="F10" s="45" t="s">
        <v>653</v>
      </c>
      <c r="G10" s="48">
        <v>8.5</v>
      </c>
      <c r="H10" s="45" t="s">
        <v>654</v>
      </c>
      <c r="I10" s="48">
        <v>7.5</v>
      </c>
      <c r="J10" s="56" t="s">
        <v>655</v>
      </c>
      <c r="K10" s="48">
        <v>3</v>
      </c>
      <c r="L10" s="38"/>
      <c r="M10" s="48"/>
      <c r="N10" s="18"/>
      <c r="O10" s="18"/>
      <c r="P10" s="3">
        <f>SUM(O10,M10,K10,I10,G10,E10,C10)</f>
        <v>24</v>
      </c>
      <c r="R10" s="121"/>
      <c r="S10" s="121"/>
      <c r="T10" s="121"/>
      <c r="U10" s="121" t="s">
        <v>50</v>
      </c>
    </row>
    <row r="11" spans="1:22" ht="28.9">
      <c r="A11" s="163" t="s">
        <v>656</v>
      </c>
      <c r="B11" s="303"/>
      <c r="C11" s="48"/>
      <c r="D11" s="48" t="s">
        <v>652</v>
      </c>
      <c r="E11" s="48">
        <v>5</v>
      </c>
      <c r="F11" s="48" t="s">
        <v>652</v>
      </c>
      <c r="G11" s="48">
        <v>5</v>
      </c>
      <c r="H11" s="45" t="s">
        <v>657</v>
      </c>
      <c r="I11" s="48">
        <v>8.5</v>
      </c>
      <c r="J11" s="303" t="s">
        <v>658</v>
      </c>
      <c r="K11" s="48">
        <v>4</v>
      </c>
      <c r="L11" s="56" t="s">
        <v>603</v>
      </c>
      <c r="M11" s="48">
        <v>7.5</v>
      </c>
      <c r="N11" s="18"/>
      <c r="O11" s="18"/>
      <c r="P11" s="3">
        <f>SUM(O11,M11,K11,I11,G11,E11,C11)</f>
        <v>30</v>
      </c>
      <c r="R11" s="121"/>
      <c r="S11" s="121"/>
      <c r="T11" s="121"/>
      <c r="U11" s="121" t="s">
        <v>601</v>
      </c>
    </row>
    <row r="12" spans="1:22" ht="28.9">
      <c r="A12" s="60" t="s">
        <v>659</v>
      </c>
      <c r="B12" s="60" t="s">
        <v>660</v>
      </c>
      <c r="C12" s="48">
        <v>7.5</v>
      </c>
      <c r="D12" s="60"/>
      <c r="E12" s="48"/>
      <c r="F12" s="318"/>
      <c r="G12" s="48"/>
      <c r="H12" s="56" t="s">
        <v>661</v>
      </c>
      <c r="I12" s="48">
        <v>9.5</v>
      </c>
      <c r="J12" s="318" t="s">
        <v>373</v>
      </c>
      <c r="K12" s="48">
        <v>7.5</v>
      </c>
      <c r="L12" s="48" t="s">
        <v>662</v>
      </c>
      <c r="M12" s="48">
        <v>9.5</v>
      </c>
      <c r="N12" s="18"/>
      <c r="O12" s="18"/>
      <c r="P12" s="3">
        <f t="shared" ref="P12:P13" si="1">SUM(O12,M12,K12,I12,G12,E12,C12)</f>
        <v>34</v>
      </c>
      <c r="R12" s="121"/>
      <c r="S12" s="121"/>
      <c r="T12" s="121"/>
      <c r="U12" s="121" t="s">
        <v>58</v>
      </c>
    </row>
    <row r="13" spans="1:22" ht="43.15">
      <c r="A13" s="316" t="s">
        <v>234</v>
      </c>
      <c r="B13" s="69"/>
      <c r="C13" s="48"/>
      <c r="D13" s="69"/>
      <c r="E13" s="48"/>
      <c r="F13" s="101" t="s">
        <v>663</v>
      </c>
      <c r="G13" s="48">
        <v>7.5</v>
      </c>
      <c r="H13" s="132" t="s">
        <v>664</v>
      </c>
      <c r="I13" s="48">
        <v>5</v>
      </c>
      <c r="J13" s="319" t="s">
        <v>665</v>
      </c>
      <c r="K13" s="48">
        <v>6.5</v>
      </c>
      <c r="L13" s="101" t="s">
        <v>666</v>
      </c>
      <c r="M13" s="48">
        <v>5</v>
      </c>
      <c r="N13" s="18"/>
      <c r="O13" s="18"/>
      <c r="P13" s="3">
        <f t="shared" si="1"/>
        <v>24</v>
      </c>
      <c r="R13" s="121"/>
      <c r="S13" s="121"/>
      <c r="T13" s="121"/>
      <c r="U13" s="121"/>
    </row>
    <row r="14" spans="1:22" ht="43.15">
      <c r="A14" s="101" t="s">
        <v>609</v>
      </c>
      <c r="B14" s="101" t="s">
        <v>605</v>
      </c>
      <c r="C14" s="18">
        <v>7.5</v>
      </c>
      <c r="D14" s="101" t="s">
        <v>26</v>
      </c>
      <c r="E14" s="18"/>
      <c r="F14" s="303"/>
      <c r="G14" s="48"/>
      <c r="H14" s="303"/>
      <c r="I14" s="48"/>
      <c r="J14" s="266" t="s">
        <v>667</v>
      </c>
      <c r="K14" s="48">
        <v>7.5</v>
      </c>
      <c r="L14" s="101" t="s">
        <v>668</v>
      </c>
      <c r="M14" s="48">
        <v>7.5</v>
      </c>
      <c r="N14" s="18"/>
      <c r="O14" s="18"/>
      <c r="P14" s="3">
        <f t="shared" si="0"/>
        <v>22.5</v>
      </c>
      <c r="R14" s="121"/>
      <c r="S14" s="121"/>
      <c r="T14" s="121"/>
      <c r="U14" s="121"/>
    </row>
    <row r="15" spans="1:22" ht="43.9">
      <c r="A15" s="128" t="s">
        <v>614</v>
      </c>
      <c r="B15" s="50" t="s">
        <v>669</v>
      </c>
      <c r="C15" s="48">
        <v>7.5</v>
      </c>
      <c r="D15" s="60" t="s">
        <v>619</v>
      </c>
      <c r="E15" s="48">
        <v>10</v>
      </c>
      <c r="F15" s="50" t="s">
        <v>670</v>
      </c>
      <c r="G15" s="48">
        <v>3</v>
      </c>
      <c r="H15" s="45"/>
      <c r="I15" s="48"/>
      <c r="J15" s="45" t="s">
        <v>26</v>
      </c>
      <c r="K15" s="48"/>
      <c r="L15" s="48" t="s">
        <v>652</v>
      </c>
      <c r="M15" s="48">
        <v>5</v>
      </c>
      <c r="N15" s="18"/>
      <c r="O15" s="18"/>
      <c r="P15" s="3">
        <f t="shared" si="0"/>
        <v>25.5</v>
      </c>
      <c r="R15" s="299" t="s">
        <v>74</v>
      </c>
      <c r="S15" s="299"/>
      <c r="T15" s="299" t="s">
        <v>75</v>
      </c>
      <c r="U15" s="299"/>
      <c r="V15" s="300"/>
    </row>
    <row r="16" spans="1:22" ht="62.45" customHeight="1">
      <c r="A16" s="128" t="s">
        <v>618</v>
      </c>
      <c r="B16" s="60" t="s">
        <v>619</v>
      </c>
      <c r="C16" s="48">
        <v>9</v>
      </c>
      <c r="D16" s="283"/>
      <c r="E16" s="48"/>
      <c r="F16" s="318" t="s">
        <v>169</v>
      </c>
      <c r="G16" s="48">
        <v>7.5</v>
      </c>
      <c r="H16" s="60" t="s">
        <v>595</v>
      </c>
      <c r="I16" s="48">
        <v>7.5</v>
      </c>
      <c r="J16" s="318"/>
      <c r="K16" s="48"/>
      <c r="L16" s="273"/>
      <c r="M16" s="48"/>
      <c r="N16" s="18"/>
      <c r="O16" s="18"/>
      <c r="P16" s="3">
        <f t="shared" si="0"/>
        <v>24</v>
      </c>
      <c r="R16" s="121"/>
      <c r="S16" s="121"/>
      <c r="T16" s="121"/>
      <c r="U16" s="121"/>
    </row>
    <row r="17" spans="1:21">
      <c r="A17" s="45" t="s">
        <v>671</v>
      </c>
      <c r="B17" s="69"/>
      <c r="C17" s="48"/>
      <c r="D17" s="45" t="s">
        <v>672</v>
      </c>
      <c r="E17" s="48">
        <v>3.5</v>
      </c>
      <c r="F17" s="45" t="s">
        <v>672</v>
      </c>
      <c r="G17" s="48">
        <v>3.5</v>
      </c>
      <c r="H17" s="69"/>
      <c r="I17" s="48"/>
      <c r="J17" s="45" t="s">
        <v>672</v>
      </c>
      <c r="K17" s="48">
        <v>3.5</v>
      </c>
      <c r="L17" s="45"/>
      <c r="M17" s="48"/>
      <c r="N17" s="18"/>
      <c r="O17" s="18"/>
      <c r="P17" s="3">
        <f t="shared" si="0"/>
        <v>10.5</v>
      </c>
      <c r="R17" s="121"/>
      <c r="S17" s="121"/>
      <c r="T17" s="121"/>
      <c r="U17" s="121"/>
    </row>
    <row r="18" spans="1:21">
      <c r="A18" s="45" t="s">
        <v>562</v>
      </c>
      <c r="B18" s="45" t="s">
        <v>673</v>
      </c>
      <c r="C18" s="48">
        <v>5.5</v>
      </c>
      <c r="D18" s="45" t="s">
        <v>673</v>
      </c>
      <c r="E18" s="48">
        <v>5.5</v>
      </c>
      <c r="F18" s="45" t="s">
        <v>673</v>
      </c>
      <c r="G18" s="48">
        <v>5.5</v>
      </c>
      <c r="H18" s="45" t="s">
        <v>26</v>
      </c>
      <c r="I18" s="48"/>
      <c r="J18" s="45" t="s">
        <v>26</v>
      </c>
      <c r="K18" s="48"/>
      <c r="L18" s="45"/>
      <c r="M18" s="48"/>
      <c r="N18" s="18"/>
      <c r="O18" s="18"/>
      <c r="P18" s="3">
        <f t="shared" si="0"/>
        <v>16.5</v>
      </c>
      <c r="R18" s="121"/>
      <c r="S18" s="121"/>
      <c r="T18" s="121"/>
      <c r="U18" s="121"/>
    </row>
    <row r="19" spans="1:21" ht="28.9">
      <c r="A19" s="45" t="s">
        <v>674</v>
      </c>
      <c r="B19" s="69"/>
      <c r="C19" s="18"/>
      <c r="D19" s="50" t="s">
        <v>675</v>
      </c>
      <c r="E19" s="18">
        <v>7.5</v>
      </c>
      <c r="F19" s="303"/>
      <c r="G19" s="18"/>
      <c r="H19" s="303"/>
      <c r="I19" s="18"/>
      <c r="J19" s="50" t="s">
        <v>676</v>
      </c>
      <c r="K19" s="18">
        <v>9</v>
      </c>
      <c r="L19" s="303"/>
      <c r="M19" s="18"/>
      <c r="N19" s="18"/>
      <c r="O19" s="18"/>
      <c r="P19" s="3">
        <f t="shared" si="0"/>
        <v>16.5</v>
      </c>
    </row>
    <row r="20" spans="1:21">
      <c r="A20" s="45" t="s">
        <v>677</v>
      </c>
      <c r="B20" s="50" t="s">
        <v>678</v>
      </c>
      <c r="C20" s="18">
        <v>3</v>
      </c>
      <c r="D20" s="305" t="s">
        <v>679</v>
      </c>
      <c r="E20" s="18">
        <v>2</v>
      </c>
      <c r="F20" s="320" t="s">
        <v>680</v>
      </c>
      <c r="G20" s="18">
        <v>3.5</v>
      </c>
      <c r="H20" s="320" t="s">
        <v>681</v>
      </c>
      <c r="I20" s="18">
        <v>6.5</v>
      </c>
      <c r="J20" s="273"/>
      <c r="K20" s="18"/>
      <c r="L20" s="273"/>
      <c r="M20" s="18"/>
      <c r="N20" s="18"/>
      <c r="O20" s="18"/>
      <c r="P20" s="3">
        <f t="shared" si="0"/>
        <v>15</v>
      </c>
    </row>
    <row r="21" spans="1:21">
      <c r="A21" s="52" t="s">
        <v>95</v>
      </c>
      <c r="B21" s="3"/>
      <c r="C21" s="3">
        <f>SUM(C6:C20)</f>
        <v>67</v>
      </c>
      <c r="D21" s="3"/>
      <c r="E21" s="3">
        <f>SUM(E6:E20)</f>
        <v>57.5</v>
      </c>
      <c r="F21" s="3"/>
      <c r="G21" s="3">
        <f>SUM(G6:G20)</f>
        <v>66.5</v>
      </c>
      <c r="H21" s="3"/>
      <c r="I21" s="3">
        <f>SUM(I6:I20)</f>
        <v>59</v>
      </c>
      <c r="J21" s="3"/>
      <c r="K21" s="3">
        <f>SUM(K6:K20)</f>
        <v>62</v>
      </c>
      <c r="L21" s="3"/>
      <c r="M21" s="3">
        <f>SUM(M6:M20)</f>
        <v>47.5</v>
      </c>
      <c r="N21" s="3"/>
      <c r="O21" s="3">
        <f>SUM(O6:O20)</f>
        <v>0</v>
      </c>
      <c r="P21" s="3">
        <f>SUM(P6:P20)</f>
        <v>359.5</v>
      </c>
      <c r="Q21">
        <f>SUM(C21,E21,G21,I21,K21,M21,O21)</f>
        <v>359.5</v>
      </c>
    </row>
    <row r="22" spans="1:21">
      <c r="C22">
        <f>C21*20</f>
        <v>1340</v>
      </c>
      <c r="E22">
        <f>E21*20</f>
        <v>1150</v>
      </c>
      <c r="G22">
        <f>G21*20</f>
        <v>1330</v>
      </c>
      <c r="I22">
        <f>I21*20</f>
        <v>1180</v>
      </c>
      <c r="K22">
        <f>K21*20</f>
        <v>1240</v>
      </c>
      <c r="M22">
        <f>M21*20</f>
        <v>950</v>
      </c>
      <c r="O22">
        <f>O21*20</f>
        <v>0</v>
      </c>
      <c r="P22" s="323">
        <f>SUM(O22,M22,K22,I22,G22,E22,C22)</f>
        <v>7190</v>
      </c>
    </row>
    <row r="24" spans="1:21" ht="15" thickBot="1">
      <c r="A24" s="264" t="s">
        <v>96</v>
      </c>
      <c r="B24" s="264"/>
      <c r="C24" s="117"/>
      <c r="D24" s="121"/>
    </row>
    <row r="25" spans="1:21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1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  <c r="Q26">
        <f>P21*20</f>
        <v>7190</v>
      </c>
    </row>
    <row r="27" spans="1:21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21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1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1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  <c r="T30" t="s">
        <v>110</v>
      </c>
    </row>
    <row r="31" spans="1:21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21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AC2A-E4DC-471C-B665-70CE4B663E50}">
  <sheetPr>
    <tabColor theme="9"/>
  </sheetPr>
  <dimension ref="A1:V34"/>
  <sheetViews>
    <sheetView zoomScale="80" zoomScaleNormal="80" zoomScaleSheetLayoutView="100" workbookViewId="0">
      <selection activeCell="K5" sqref="K5"/>
    </sheetView>
  </sheetViews>
  <sheetFormatPr defaultRowHeight="14.45"/>
  <cols>
    <col min="1" max="1" width="26.28515625" customWidth="1"/>
    <col min="2" max="2" width="17.42578125" customWidth="1"/>
    <col min="3" max="3" width="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10.28515625" bestFit="1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46118</v>
      </c>
      <c r="C2" s="6"/>
      <c r="D2" s="5">
        <v>46119</v>
      </c>
      <c r="E2" s="6"/>
      <c r="F2" s="5">
        <v>46120</v>
      </c>
      <c r="G2" s="6"/>
      <c r="H2" s="5">
        <v>46121</v>
      </c>
      <c r="I2" s="6"/>
      <c r="J2" s="5">
        <v>46122</v>
      </c>
      <c r="K2" s="6"/>
      <c r="L2" s="5">
        <v>46123</v>
      </c>
      <c r="M2" s="6"/>
      <c r="N2" s="5">
        <v>46124</v>
      </c>
      <c r="O2" s="7"/>
      <c r="P2" s="3"/>
    </row>
    <row r="3" spans="1:22" ht="57.6">
      <c r="A3" s="8" t="s">
        <v>9</v>
      </c>
      <c r="B3" s="313" t="s">
        <v>682</v>
      </c>
      <c r="C3" s="10"/>
      <c r="D3" s="62" t="s">
        <v>683</v>
      </c>
      <c r="E3" s="10"/>
      <c r="F3" s="9" t="s">
        <v>684</v>
      </c>
      <c r="G3" s="11"/>
      <c r="H3" s="62" t="s">
        <v>685</v>
      </c>
      <c r="I3" s="10"/>
      <c r="J3" s="285" t="s">
        <v>686</v>
      </c>
      <c r="K3" s="10"/>
      <c r="L3" s="62"/>
      <c r="M3" s="13"/>
      <c r="N3" s="9"/>
      <c r="O3" s="15"/>
      <c r="P3" s="3"/>
    </row>
    <row r="4" spans="1:22">
      <c r="A4" s="82" t="s">
        <v>14</v>
      </c>
      <c r="B4" s="294" t="s">
        <v>687</v>
      </c>
      <c r="C4" s="18">
        <v>5</v>
      </c>
      <c r="D4" s="18" t="s">
        <v>688</v>
      </c>
      <c r="E4" s="18">
        <v>8.5</v>
      </c>
      <c r="F4" s="18" t="s">
        <v>689</v>
      </c>
      <c r="G4" s="18">
        <v>12</v>
      </c>
      <c r="H4" s="18" t="s">
        <v>690</v>
      </c>
      <c r="I4" s="18">
        <v>9</v>
      </c>
      <c r="J4" s="18" t="s">
        <v>15</v>
      </c>
      <c r="K4" s="18">
        <v>8</v>
      </c>
      <c r="L4" s="289"/>
      <c r="M4" s="18"/>
      <c r="N4" s="18" t="s">
        <v>17</v>
      </c>
      <c r="O4" s="18"/>
      <c r="P4" s="322">
        <f t="shared" ref="P4:P21" si="0">SUM(O4,M4,K4,I4,G4,E4,C4)</f>
        <v>42.5</v>
      </c>
    </row>
    <row r="5" spans="1:22">
      <c r="A5" s="45" t="s">
        <v>18</v>
      </c>
      <c r="B5" s="18" t="s">
        <v>15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16</v>
      </c>
      <c r="I5" s="18">
        <v>8</v>
      </c>
      <c r="J5" s="18" t="s">
        <v>15</v>
      </c>
      <c r="K5" s="18">
        <v>8</v>
      </c>
      <c r="L5" s="289"/>
      <c r="M5" s="18"/>
      <c r="N5" s="18" t="s">
        <v>17</v>
      </c>
      <c r="O5" s="18"/>
      <c r="P5" s="322">
        <f t="shared" si="0"/>
        <v>40</v>
      </c>
    </row>
    <row r="6" spans="1:22" ht="43.15">
      <c r="A6" s="163" t="s">
        <v>214</v>
      </c>
      <c r="B6" s="48" t="s">
        <v>691</v>
      </c>
      <c r="C6" s="48">
        <v>8.5</v>
      </c>
      <c r="D6" s="56" t="s">
        <v>595</v>
      </c>
      <c r="E6" s="48">
        <v>7.5</v>
      </c>
      <c r="F6" s="135" t="s">
        <v>692</v>
      </c>
      <c r="G6" s="48">
        <v>3</v>
      </c>
      <c r="H6" s="297"/>
      <c r="I6" s="48"/>
      <c r="J6" s="45"/>
      <c r="K6" s="48"/>
      <c r="L6" s="314" t="s">
        <v>693</v>
      </c>
      <c r="M6" s="48">
        <v>5.5</v>
      </c>
      <c r="N6" s="18" t="s">
        <v>17</v>
      </c>
      <c r="O6" s="18"/>
      <c r="P6" s="3">
        <f t="shared" si="0"/>
        <v>24.5</v>
      </c>
    </row>
    <row r="7" spans="1:22">
      <c r="A7" s="163" t="s">
        <v>694</v>
      </c>
      <c r="B7" s="48" t="s">
        <v>695</v>
      </c>
      <c r="C7" s="48">
        <v>7.5</v>
      </c>
      <c r="D7" s="48" t="s">
        <v>695</v>
      </c>
      <c r="E7" s="48">
        <v>7.5</v>
      </c>
      <c r="F7" s="155" t="s">
        <v>696</v>
      </c>
      <c r="G7" s="48">
        <v>4</v>
      </c>
      <c r="H7" s="298" t="s">
        <v>697</v>
      </c>
      <c r="I7" s="48">
        <v>6.5</v>
      </c>
      <c r="J7" s="56"/>
      <c r="K7" s="48"/>
      <c r="L7" s="38"/>
      <c r="M7" s="47"/>
      <c r="N7" s="18" t="s">
        <v>17</v>
      </c>
      <c r="O7" s="18"/>
      <c r="P7" s="3">
        <f t="shared" si="0"/>
        <v>25.5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698</v>
      </c>
      <c r="B8" s="45" t="s">
        <v>54</v>
      </c>
      <c r="C8" s="48">
        <v>7.5</v>
      </c>
      <c r="D8" s="298" t="s">
        <v>526</v>
      </c>
      <c r="E8" s="48">
        <v>6.5</v>
      </c>
      <c r="F8" s="48" t="s">
        <v>699</v>
      </c>
      <c r="G8" s="48">
        <v>7.5</v>
      </c>
      <c r="H8" s="38"/>
      <c r="I8" s="48"/>
      <c r="J8" s="135" t="s">
        <v>700</v>
      </c>
      <c r="K8" s="48">
        <v>5</v>
      </c>
      <c r="L8" s="45"/>
      <c r="M8" s="48"/>
      <c r="N8" s="18" t="s">
        <v>17</v>
      </c>
      <c r="O8" s="18"/>
      <c r="P8" s="3">
        <f t="shared" si="0"/>
        <v>26.5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8" t="s">
        <v>26</v>
      </c>
      <c r="C9" s="48"/>
      <c r="D9" s="48"/>
      <c r="E9" s="48"/>
      <c r="F9" s="38"/>
      <c r="G9" s="48"/>
      <c r="H9" s="48" t="s">
        <v>702</v>
      </c>
      <c r="I9" s="48">
        <v>4.5</v>
      </c>
      <c r="J9" s="48" t="s">
        <v>703</v>
      </c>
      <c r="K9" s="48">
        <v>5</v>
      </c>
      <c r="L9" s="69"/>
      <c r="M9" s="48"/>
      <c r="N9" s="18" t="s">
        <v>17</v>
      </c>
      <c r="O9" s="18"/>
      <c r="P9" s="3">
        <f t="shared" si="0"/>
        <v>9.5</v>
      </c>
      <c r="R9" s="121"/>
      <c r="S9" s="121"/>
      <c r="T9" s="260"/>
      <c r="U9" s="121" t="s">
        <v>45</v>
      </c>
    </row>
    <row r="10" spans="1:22" ht="28.9">
      <c r="A10" s="128" t="s">
        <v>704</v>
      </c>
      <c r="B10" s="48" t="s">
        <v>705</v>
      </c>
      <c r="C10" s="48">
        <v>3.5</v>
      </c>
      <c r="D10" s="45" t="s">
        <v>706</v>
      </c>
      <c r="E10" s="48">
        <v>5</v>
      </c>
      <c r="F10" s="45" t="s">
        <v>707</v>
      </c>
      <c r="G10" s="48">
        <v>5</v>
      </c>
      <c r="H10" s="48" t="s">
        <v>539</v>
      </c>
      <c r="I10" s="48">
        <v>5</v>
      </c>
      <c r="J10" s="38"/>
      <c r="K10" s="48"/>
      <c r="L10" s="48" t="s">
        <v>26</v>
      </c>
      <c r="M10" s="48"/>
      <c r="N10" s="18" t="s">
        <v>17</v>
      </c>
      <c r="O10" s="18"/>
      <c r="P10" s="3">
        <f t="shared" si="0"/>
        <v>18.5</v>
      </c>
      <c r="R10" s="121"/>
      <c r="S10" s="121"/>
      <c r="T10" s="121"/>
      <c r="U10" s="121" t="s">
        <v>50</v>
      </c>
    </row>
    <row r="11" spans="1:22">
      <c r="A11" s="45" t="s">
        <v>708</v>
      </c>
      <c r="B11" s="60" t="s">
        <v>603</v>
      </c>
      <c r="C11" s="48">
        <v>7.5</v>
      </c>
      <c r="D11" s="129" t="s">
        <v>110</v>
      </c>
      <c r="E11" s="48"/>
      <c r="F11" s="315"/>
      <c r="G11" s="48"/>
      <c r="H11" s="60" t="s">
        <v>709</v>
      </c>
      <c r="I11" s="48">
        <v>9.5</v>
      </c>
      <c r="J11" s="38"/>
      <c r="K11" s="48"/>
      <c r="L11" s="38"/>
      <c r="M11" s="48"/>
      <c r="N11" s="18" t="s">
        <v>17</v>
      </c>
      <c r="O11" s="18"/>
      <c r="P11" s="3">
        <f t="shared" si="0"/>
        <v>17</v>
      </c>
      <c r="R11" s="121"/>
      <c r="S11" s="121"/>
      <c r="T11" s="121"/>
      <c r="U11" s="121" t="s">
        <v>601</v>
      </c>
    </row>
    <row r="12" spans="1:22" ht="28.9">
      <c r="A12" s="163" t="s">
        <v>710</v>
      </c>
      <c r="B12" s="56" t="s">
        <v>595</v>
      </c>
      <c r="C12" s="48">
        <v>7.5</v>
      </c>
      <c r="D12" s="56"/>
      <c r="E12" s="48"/>
      <c r="F12" s="60" t="s">
        <v>603</v>
      </c>
      <c r="G12" s="48">
        <v>7.5</v>
      </c>
      <c r="H12" s="56" t="s">
        <v>595</v>
      </c>
      <c r="I12" s="48">
        <v>7.5</v>
      </c>
      <c r="J12" s="157"/>
      <c r="K12" s="48"/>
      <c r="L12" s="56" t="s">
        <v>711</v>
      </c>
      <c r="M12" s="48">
        <v>10.5</v>
      </c>
      <c r="N12" s="18" t="s">
        <v>17</v>
      </c>
      <c r="O12" s="18"/>
      <c r="P12" s="3">
        <f t="shared" si="0"/>
        <v>33</v>
      </c>
      <c r="R12" s="121"/>
      <c r="S12" s="121"/>
      <c r="T12" s="121"/>
      <c r="U12" s="121" t="s">
        <v>58</v>
      </c>
    </row>
    <row r="13" spans="1:22" ht="28.9">
      <c r="A13" s="163" t="s">
        <v>712</v>
      </c>
      <c r="B13" s="48" t="s">
        <v>713</v>
      </c>
      <c r="C13" s="48">
        <v>5</v>
      </c>
      <c r="D13" s="48" t="s">
        <v>713</v>
      </c>
      <c r="E13" s="48">
        <v>5</v>
      </c>
      <c r="F13" s="48" t="s">
        <v>714</v>
      </c>
      <c r="G13" s="48">
        <v>5.5</v>
      </c>
      <c r="H13" s="48" t="s">
        <v>715</v>
      </c>
      <c r="I13" s="48">
        <v>3.5</v>
      </c>
      <c r="J13" s="48"/>
      <c r="K13" s="48"/>
      <c r="L13" s="48" t="s">
        <v>713</v>
      </c>
      <c r="M13" s="48">
        <v>5</v>
      </c>
      <c r="N13" s="18" t="s">
        <v>17</v>
      </c>
      <c r="O13" s="18"/>
      <c r="P13" s="3">
        <f t="shared" si="0"/>
        <v>24</v>
      </c>
      <c r="R13" s="121"/>
      <c r="S13" s="121"/>
      <c r="T13" s="121"/>
      <c r="U13" s="121"/>
    </row>
    <row r="14" spans="1:22" ht="28.9">
      <c r="A14" s="60" t="s">
        <v>716</v>
      </c>
      <c r="B14" s="82" t="s">
        <v>26</v>
      </c>
      <c r="C14" s="18"/>
      <c r="D14" s="60" t="s">
        <v>717</v>
      </c>
      <c r="E14" s="48">
        <v>9.5</v>
      </c>
      <c r="F14" s="56" t="s">
        <v>595</v>
      </c>
      <c r="G14" s="48">
        <v>7.5</v>
      </c>
      <c r="H14" s="48"/>
      <c r="I14" s="48"/>
      <c r="J14" s="56" t="s">
        <v>595</v>
      </c>
      <c r="K14" s="48">
        <v>7.5</v>
      </c>
      <c r="L14" s="56" t="s">
        <v>718</v>
      </c>
      <c r="M14" s="48">
        <v>7.5</v>
      </c>
      <c r="N14" s="18" t="s">
        <v>17</v>
      </c>
      <c r="O14" s="18"/>
      <c r="P14" s="3">
        <f t="shared" si="0"/>
        <v>32</v>
      </c>
      <c r="R14" s="121"/>
      <c r="S14" s="121"/>
      <c r="T14" s="121"/>
      <c r="U14" s="121"/>
    </row>
    <row r="15" spans="1:22" ht="28.9">
      <c r="A15" s="163" t="s">
        <v>719</v>
      </c>
      <c r="B15" s="48" t="s">
        <v>720</v>
      </c>
      <c r="C15" s="48">
        <v>7.5</v>
      </c>
      <c r="D15" s="45"/>
      <c r="E15" s="48"/>
      <c r="F15" s="50" t="s">
        <v>721</v>
      </c>
      <c r="G15" s="48">
        <v>4</v>
      </c>
      <c r="H15" s="50" t="s">
        <v>722</v>
      </c>
      <c r="I15" s="48">
        <v>3</v>
      </c>
      <c r="J15" s="45" t="s">
        <v>723</v>
      </c>
      <c r="K15" s="48">
        <v>7.75</v>
      </c>
      <c r="L15" s="45" t="s">
        <v>724</v>
      </c>
      <c r="M15" s="48">
        <v>7.5</v>
      </c>
      <c r="N15" s="18" t="s">
        <v>17</v>
      </c>
      <c r="O15" s="18"/>
      <c r="P15" s="3">
        <f t="shared" si="0"/>
        <v>29.75</v>
      </c>
      <c r="R15" s="121"/>
      <c r="S15" s="121"/>
      <c r="T15" s="121"/>
      <c r="U15" s="121"/>
    </row>
    <row r="16" spans="1:22" ht="18">
      <c r="A16" s="163" t="s">
        <v>725</v>
      </c>
      <c r="B16" s="56" t="s">
        <v>26</v>
      </c>
      <c r="C16" s="48"/>
      <c r="D16" s="283"/>
      <c r="E16" s="48"/>
      <c r="F16" s="56" t="s">
        <v>26</v>
      </c>
      <c r="G16" s="48"/>
      <c r="H16" s="48" t="s">
        <v>726</v>
      </c>
      <c r="I16" s="48">
        <v>7.5</v>
      </c>
      <c r="J16" s="60" t="s">
        <v>603</v>
      </c>
      <c r="K16" s="48">
        <v>7.5</v>
      </c>
      <c r="L16" s="273"/>
      <c r="M16" s="48"/>
      <c r="N16" s="18" t="s">
        <v>17</v>
      </c>
      <c r="O16" s="18"/>
      <c r="P16" s="3">
        <f t="shared" si="0"/>
        <v>15</v>
      </c>
      <c r="R16" s="299" t="s">
        <v>74</v>
      </c>
      <c r="S16" s="299"/>
      <c r="T16" s="299" t="s">
        <v>75</v>
      </c>
      <c r="U16" s="299"/>
      <c r="V16" s="300"/>
    </row>
    <row r="17" spans="1:22" ht="58.15">
      <c r="A17" s="316" t="s">
        <v>234</v>
      </c>
      <c r="B17" s="273"/>
      <c r="C17" s="48"/>
      <c r="D17" s="273"/>
      <c r="E17" s="48"/>
      <c r="F17" s="101" t="s">
        <v>727</v>
      </c>
      <c r="G17" s="48">
        <v>7.5</v>
      </c>
      <c r="H17" s="157"/>
      <c r="I17" s="48"/>
      <c r="J17" s="324" t="s">
        <v>728</v>
      </c>
      <c r="K17" s="48">
        <v>5</v>
      </c>
      <c r="L17" s="101" t="s">
        <v>729</v>
      </c>
      <c r="M17" s="48">
        <v>5</v>
      </c>
      <c r="N17" s="18"/>
      <c r="O17" s="18"/>
      <c r="P17" s="3">
        <f t="shared" si="0"/>
        <v>17.5</v>
      </c>
      <c r="R17" s="299"/>
      <c r="S17" s="299"/>
      <c r="T17" s="299"/>
      <c r="U17" s="299"/>
      <c r="V17" s="300"/>
    </row>
    <row r="18" spans="1:22" ht="28.9">
      <c r="A18" s="45" t="s">
        <v>730</v>
      </c>
      <c r="B18" s="45" t="s">
        <v>731</v>
      </c>
      <c r="C18" s="48">
        <v>5</v>
      </c>
      <c r="D18" s="45" t="s">
        <v>731</v>
      </c>
      <c r="E18" s="48">
        <v>5</v>
      </c>
      <c r="F18" s="45" t="s">
        <v>731</v>
      </c>
      <c r="G18" s="48">
        <v>5</v>
      </c>
      <c r="H18" s="45" t="s">
        <v>732</v>
      </c>
      <c r="I18" s="48">
        <v>4</v>
      </c>
      <c r="J18" s="298" t="s">
        <v>733</v>
      </c>
      <c r="K18" s="18">
        <v>5</v>
      </c>
      <c r="L18" s="69"/>
      <c r="M18" s="48"/>
      <c r="N18" s="18" t="s">
        <v>17</v>
      </c>
      <c r="O18" s="18"/>
      <c r="P18" s="3">
        <f t="shared" si="0"/>
        <v>24</v>
      </c>
      <c r="R18" s="121"/>
      <c r="S18" s="121"/>
      <c r="T18" s="121"/>
      <c r="U18" s="121"/>
    </row>
    <row r="19" spans="1:22">
      <c r="A19" s="45" t="s">
        <v>734</v>
      </c>
      <c r="B19" s="69"/>
      <c r="C19" s="48"/>
      <c r="D19" s="45"/>
      <c r="E19" s="48"/>
      <c r="F19" s="45" t="s">
        <v>735</v>
      </c>
      <c r="G19" s="48">
        <v>3.5</v>
      </c>
      <c r="H19" s="69"/>
      <c r="I19" s="48"/>
      <c r="J19" s="45" t="s">
        <v>735</v>
      </c>
      <c r="K19" s="48">
        <v>3.5</v>
      </c>
      <c r="L19" s="45" t="s">
        <v>705</v>
      </c>
      <c r="M19" s="48">
        <v>3.5</v>
      </c>
      <c r="N19" s="18" t="s">
        <v>17</v>
      </c>
      <c r="O19" s="18"/>
      <c r="P19" s="3">
        <f t="shared" si="0"/>
        <v>10.5</v>
      </c>
      <c r="R19" s="121"/>
      <c r="S19" s="121"/>
      <c r="T19" s="121"/>
      <c r="U19" s="121"/>
    </row>
    <row r="20" spans="1:22" ht="40.9" customHeight="1">
      <c r="A20" s="45" t="s">
        <v>736</v>
      </c>
      <c r="B20" s="69"/>
      <c r="C20" s="18"/>
      <c r="D20" s="60" t="s">
        <v>737</v>
      </c>
      <c r="E20" s="18">
        <v>6.5</v>
      </c>
      <c r="F20" s="317" t="s">
        <v>738</v>
      </c>
      <c r="G20" s="18">
        <v>3</v>
      </c>
      <c r="H20" s="303"/>
      <c r="I20" s="18"/>
      <c r="J20" s="50" t="s">
        <v>739</v>
      </c>
      <c r="K20" s="18">
        <v>5.5</v>
      </c>
      <c r="L20" s="303"/>
      <c r="M20" s="18"/>
      <c r="N20" s="18"/>
      <c r="O20" s="18"/>
      <c r="P20" s="3">
        <f t="shared" si="0"/>
        <v>15</v>
      </c>
      <c r="R20" s="121"/>
      <c r="S20" s="121"/>
      <c r="T20" s="121"/>
      <c r="U20" s="121"/>
    </row>
    <row r="21" spans="1:22" ht="28.9">
      <c r="A21" s="45" t="s">
        <v>740</v>
      </c>
      <c r="B21" s="82" t="s">
        <v>741</v>
      </c>
      <c r="C21" s="18">
        <v>7.5</v>
      </c>
      <c r="D21" s="90" t="s">
        <v>742</v>
      </c>
      <c r="E21" s="18">
        <v>4</v>
      </c>
      <c r="F21" s="306" t="s">
        <v>743</v>
      </c>
      <c r="G21" s="18">
        <v>3.5</v>
      </c>
      <c r="H21" s="304"/>
      <c r="I21" s="18"/>
      <c r="J21" s="273"/>
      <c r="K21" s="18"/>
      <c r="L21" s="273"/>
      <c r="M21" s="18"/>
      <c r="N21" s="18"/>
      <c r="O21" s="18"/>
      <c r="P21" s="3">
        <f t="shared" si="0"/>
        <v>15</v>
      </c>
    </row>
    <row r="22" spans="1:22">
      <c r="A22" s="52" t="s">
        <v>95</v>
      </c>
      <c r="B22" s="3"/>
      <c r="C22" s="3">
        <f>SUM(C6:C21)</f>
        <v>67</v>
      </c>
      <c r="D22" s="3"/>
      <c r="E22" s="3">
        <f>SUM(E6:E21)</f>
        <v>56.5</v>
      </c>
      <c r="F22" s="3"/>
      <c r="G22" s="3">
        <f>SUM(G6:G21)</f>
        <v>66.5</v>
      </c>
      <c r="H22" s="3"/>
      <c r="I22" s="3">
        <f>SUM(I6:I21)</f>
        <v>51</v>
      </c>
      <c r="J22" s="3"/>
      <c r="K22" s="3">
        <f>SUM(K6:K21)</f>
        <v>51.75</v>
      </c>
      <c r="L22" s="3"/>
      <c r="M22" s="3">
        <f>SUM(M6:M21)</f>
        <v>44.5</v>
      </c>
      <c r="N22" s="3"/>
      <c r="O22" s="3">
        <f>SUM(O6:O21)</f>
        <v>0</v>
      </c>
      <c r="P22" s="3">
        <f>SUM(P6:P21)</f>
        <v>337.25</v>
      </c>
      <c r="Q22">
        <f>SUM(O22,M22,K22,I22,G22,E22,C22)</f>
        <v>337.25</v>
      </c>
    </row>
    <row r="23" spans="1:22">
      <c r="C23">
        <f>C22*20</f>
        <v>1340</v>
      </c>
      <c r="E23">
        <f>E22*20</f>
        <v>1130</v>
      </c>
      <c r="G23">
        <f>G22*20</f>
        <v>1330</v>
      </c>
      <c r="I23">
        <f>I22*20</f>
        <v>1020</v>
      </c>
      <c r="K23">
        <f>K22*20</f>
        <v>1035</v>
      </c>
      <c r="M23">
        <f>M22*20</f>
        <v>890</v>
      </c>
      <c r="O23">
        <f>O22*20</f>
        <v>0</v>
      </c>
      <c r="P23" s="323">
        <f>SUM(O23,M23,K23,I23,G23,E23,C23)</f>
        <v>6745</v>
      </c>
    </row>
    <row r="25" spans="1:22" ht="15" thickBot="1">
      <c r="A25" s="264" t="s">
        <v>96</v>
      </c>
      <c r="B25" s="264"/>
      <c r="C25" s="117"/>
      <c r="D25" s="121"/>
    </row>
    <row r="26" spans="1:22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2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2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  <c r="Q28">
        <f>P22*20</f>
        <v>6745</v>
      </c>
    </row>
    <row r="29" spans="1:22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2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2" ht="3.75" customHeight="1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2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T32" t="s">
        <v>110</v>
      </c>
    </row>
    <row r="33" spans="1:10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10" ht="15" thickBot="1">
      <c r="D34" s="431" t="s">
        <v>119</v>
      </c>
      <c r="E34" s="432"/>
      <c r="F34" s="432"/>
      <c r="G34" s="432"/>
      <c r="H34" s="432"/>
      <c r="I34" s="432"/>
      <c r="J34" s="433"/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18B-A647-4A9F-BB97-2FA4030C93AC}">
  <sheetPr>
    <tabColor theme="9"/>
  </sheetPr>
  <dimension ref="A1:V34"/>
  <sheetViews>
    <sheetView zoomScaleNormal="100" zoomScaleSheetLayoutView="100" workbookViewId="0">
      <selection activeCell="I4" sqref="I4"/>
    </sheetView>
  </sheetViews>
  <sheetFormatPr defaultRowHeight="14.45"/>
  <cols>
    <col min="1" max="1" width="26.28515625" customWidth="1"/>
    <col min="2" max="2" width="17.42578125" customWidth="1"/>
    <col min="3" max="3" width="5" bestFit="1" customWidth="1"/>
    <col min="4" max="4" width="20" customWidth="1"/>
    <col min="5" max="5" width="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46111</v>
      </c>
      <c r="C2" s="6"/>
      <c r="D2" s="5">
        <v>46112</v>
      </c>
      <c r="E2" s="6"/>
      <c r="F2" s="5">
        <v>46113</v>
      </c>
      <c r="G2" s="6"/>
      <c r="H2" s="5">
        <v>46114</v>
      </c>
      <c r="I2" s="6"/>
      <c r="J2" s="5">
        <v>46115</v>
      </c>
      <c r="K2" s="6"/>
      <c r="L2" s="5">
        <v>46116</v>
      </c>
      <c r="M2" s="6"/>
      <c r="N2" s="5">
        <v>46117</v>
      </c>
      <c r="O2" s="7"/>
      <c r="P2" s="3"/>
    </row>
    <row r="3" spans="1:22" ht="52.15">
      <c r="A3" s="8" t="s">
        <v>9</v>
      </c>
      <c r="B3" s="93" t="s">
        <v>744</v>
      </c>
      <c r="C3" s="10"/>
      <c r="D3" s="9" t="s">
        <v>745</v>
      </c>
      <c r="E3" s="10"/>
      <c r="F3" s="9"/>
      <c r="G3" s="11"/>
      <c r="H3" s="288" t="s">
        <v>746</v>
      </c>
      <c r="I3" s="10"/>
      <c r="J3" s="285" t="s">
        <v>747</v>
      </c>
      <c r="K3" s="10"/>
      <c r="L3" s="62" t="s">
        <v>748</v>
      </c>
      <c r="M3" s="13"/>
      <c r="N3" s="9"/>
      <c r="O3" s="15"/>
      <c r="P3" s="3"/>
    </row>
    <row r="4" spans="1:22">
      <c r="A4" s="82" t="s">
        <v>14</v>
      </c>
      <c r="B4" s="294" t="s">
        <v>749</v>
      </c>
      <c r="C4" s="18">
        <v>11</v>
      </c>
      <c r="D4" s="18" t="s">
        <v>750</v>
      </c>
      <c r="E4" s="18">
        <v>8.5</v>
      </c>
      <c r="F4" s="18" t="s">
        <v>751</v>
      </c>
      <c r="G4" s="18">
        <v>10</v>
      </c>
      <c r="H4" s="18" t="s">
        <v>752</v>
      </c>
      <c r="I4" s="18">
        <v>3</v>
      </c>
      <c r="J4" s="18" t="s">
        <v>339</v>
      </c>
      <c r="K4" s="18">
        <v>8</v>
      </c>
      <c r="L4" s="289"/>
      <c r="M4" s="18"/>
      <c r="N4" s="18"/>
      <c r="O4" s="18"/>
      <c r="P4" s="3">
        <f t="shared" ref="P4:P21" si="0">SUM(O4,M4,K4,I4,G4,E4,C4)</f>
        <v>40.5</v>
      </c>
    </row>
    <row r="5" spans="1:22">
      <c r="A5" s="45" t="s">
        <v>18</v>
      </c>
      <c r="B5" s="18" t="s">
        <v>753</v>
      </c>
      <c r="C5" s="18">
        <v>9</v>
      </c>
      <c r="D5" s="18" t="s">
        <v>754</v>
      </c>
      <c r="E5" s="18">
        <v>8</v>
      </c>
      <c r="F5" s="18" t="s">
        <v>755</v>
      </c>
      <c r="G5" s="18">
        <v>8</v>
      </c>
      <c r="H5" s="18" t="s">
        <v>756</v>
      </c>
      <c r="I5" s="18">
        <v>8</v>
      </c>
      <c r="J5" s="18" t="s">
        <v>339</v>
      </c>
      <c r="K5" s="18">
        <v>8</v>
      </c>
      <c r="L5" s="289"/>
      <c r="M5" s="18"/>
      <c r="N5" s="18"/>
      <c r="O5" s="18"/>
      <c r="P5" s="3">
        <f t="shared" si="0"/>
        <v>41</v>
      </c>
    </row>
    <row r="6" spans="1:22">
      <c r="A6" s="163" t="s">
        <v>214</v>
      </c>
      <c r="B6" s="45" t="s">
        <v>757</v>
      </c>
      <c r="C6" s="48">
        <v>5</v>
      </c>
      <c r="D6" s="45" t="s">
        <v>758</v>
      </c>
      <c r="E6" s="48">
        <v>7.5</v>
      </c>
      <c r="F6" s="135"/>
      <c r="G6" s="48"/>
      <c r="H6" s="297"/>
      <c r="I6" s="48"/>
      <c r="J6" s="45" t="s">
        <v>339</v>
      </c>
      <c r="K6" s="48"/>
      <c r="L6" s="56" t="s">
        <v>595</v>
      </c>
      <c r="M6" s="48">
        <v>7.5</v>
      </c>
      <c r="N6" s="45"/>
      <c r="O6" s="18"/>
      <c r="P6" s="3">
        <f t="shared" si="0"/>
        <v>20</v>
      </c>
    </row>
    <row r="7" spans="1:22" ht="28.9">
      <c r="A7" s="163" t="s">
        <v>694</v>
      </c>
      <c r="B7" s="240" t="s">
        <v>759</v>
      </c>
      <c r="C7" s="48">
        <v>4</v>
      </c>
      <c r="D7" s="56" t="s">
        <v>760</v>
      </c>
      <c r="E7" s="48">
        <v>8.5</v>
      </c>
      <c r="F7" s="155" t="s">
        <v>761</v>
      </c>
      <c r="G7" s="48">
        <v>4.5</v>
      </c>
      <c r="H7" s="298" t="s">
        <v>762</v>
      </c>
      <c r="I7" s="48">
        <v>7</v>
      </c>
      <c r="J7" s="56" t="s">
        <v>17</v>
      </c>
      <c r="K7" s="48"/>
      <c r="L7" s="38"/>
      <c r="M7" s="47"/>
      <c r="N7" s="18"/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698</v>
      </c>
      <c r="B8" s="45" t="s">
        <v>763</v>
      </c>
      <c r="C8" s="48">
        <v>5</v>
      </c>
      <c r="D8" s="297" t="s">
        <v>526</v>
      </c>
      <c r="E8" s="48">
        <v>6.5</v>
      </c>
      <c r="F8" s="48" t="s">
        <v>54</v>
      </c>
      <c r="G8" s="48">
        <v>7.5</v>
      </c>
      <c r="H8" s="38"/>
      <c r="I8" s="48"/>
      <c r="J8" s="135" t="s">
        <v>17</v>
      </c>
      <c r="K8" s="48"/>
      <c r="L8" s="45"/>
      <c r="M8" s="48"/>
      <c r="N8" s="18"/>
      <c r="O8" s="18"/>
      <c r="P8" s="3">
        <f t="shared" si="0"/>
        <v>19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8" t="s">
        <v>764</v>
      </c>
      <c r="C9" s="48">
        <v>5</v>
      </c>
      <c r="D9" s="48"/>
      <c r="E9" s="48"/>
      <c r="F9" s="38"/>
      <c r="G9" s="48"/>
      <c r="H9" s="48" t="s">
        <v>764</v>
      </c>
      <c r="I9" s="48">
        <v>5</v>
      </c>
      <c r="J9" s="48" t="s">
        <v>17</v>
      </c>
      <c r="K9" s="48"/>
      <c r="L9" s="135" t="s">
        <v>765</v>
      </c>
      <c r="M9" s="48">
        <v>6.5</v>
      </c>
      <c r="N9" s="18"/>
      <c r="O9" s="18"/>
      <c r="P9" s="3">
        <f t="shared" si="0"/>
        <v>16.5</v>
      </c>
      <c r="R9" s="121"/>
      <c r="S9" s="121"/>
      <c r="T9" s="260"/>
      <c r="U9" s="121" t="s">
        <v>45</v>
      </c>
    </row>
    <row r="10" spans="1:22" ht="57.6">
      <c r="A10" s="128" t="s">
        <v>704</v>
      </c>
      <c r="B10" s="45" t="s">
        <v>757</v>
      </c>
      <c r="C10" s="48">
        <v>5</v>
      </c>
      <c r="D10" s="45" t="s">
        <v>766</v>
      </c>
      <c r="E10" s="48">
        <v>8.5</v>
      </c>
      <c r="F10" s="45"/>
      <c r="G10" s="48"/>
      <c r="H10" s="48" t="s">
        <v>767</v>
      </c>
      <c r="I10" s="48">
        <v>5</v>
      </c>
      <c r="J10" s="38"/>
      <c r="K10" s="48"/>
      <c r="L10" s="48" t="s">
        <v>768</v>
      </c>
      <c r="M10" s="48">
        <v>5</v>
      </c>
      <c r="N10" s="18"/>
      <c r="O10" s="18"/>
      <c r="P10" s="3">
        <f t="shared" si="0"/>
        <v>23.5</v>
      </c>
      <c r="R10" s="121"/>
      <c r="S10" s="121"/>
      <c r="T10" s="121"/>
      <c r="U10" s="121" t="s">
        <v>50</v>
      </c>
    </row>
    <row r="11" spans="1:22">
      <c r="A11" s="45" t="s">
        <v>708</v>
      </c>
      <c r="B11" s="48"/>
      <c r="C11" s="48"/>
      <c r="D11" s="129" t="s">
        <v>769</v>
      </c>
      <c r="E11" s="48">
        <v>4</v>
      </c>
      <c r="F11" s="60" t="s">
        <v>770</v>
      </c>
      <c r="G11" s="48">
        <v>7.5</v>
      </c>
      <c r="H11" s="240" t="s">
        <v>771</v>
      </c>
      <c r="I11" s="48">
        <v>4.5</v>
      </c>
      <c r="J11" s="38"/>
      <c r="K11" s="48"/>
      <c r="L11" s="38"/>
      <c r="M11" s="48"/>
      <c r="N11" s="18"/>
      <c r="O11" s="18"/>
      <c r="P11" s="3">
        <f t="shared" si="0"/>
        <v>16</v>
      </c>
      <c r="R11" s="121"/>
      <c r="S11" s="121"/>
      <c r="T11" s="121"/>
      <c r="U11" s="121" t="s">
        <v>601</v>
      </c>
    </row>
    <row r="12" spans="1:22">
      <c r="A12" s="163" t="s">
        <v>710</v>
      </c>
      <c r="B12" s="56" t="s">
        <v>772</v>
      </c>
      <c r="C12" s="48">
        <v>8</v>
      </c>
      <c r="D12" s="50" t="s">
        <v>773</v>
      </c>
      <c r="E12" s="48">
        <v>5</v>
      </c>
      <c r="F12" s="76"/>
      <c r="G12" s="48"/>
      <c r="H12" s="56" t="s">
        <v>373</v>
      </c>
      <c r="I12" s="48">
        <v>7.5</v>
      </c>
      <c r="J12" s="157" t="s">
        <v>17</v>
      </c>
      <c r="K12" s="48"/>
      <c r="L12" s="56" t="s">
        <v>160</v>
      </c>
      <c r="M12" s="48">
        <v>7.5</v>
      </c>
      <c r="N12" s="18"/>
      <c r="O12" s="18"/>
      <c r="P12" s="3">
        <f>SUM(O12,M12,K12,I12,G12,E12,C12)</f>
        <v>28</v>
      </c>
      <c r="R12" s="121"/>
      <c r="S12" s="121"/>
      <c r="T12" s="121"/>
      <c r="U12" s="121" t="s">
        <v>58</v>
      </c>
    </row>
    <row r="13" spans="1:22" ht="28.9">
      <c r="A13" s="163" t="s">
        <v>712</v>
      </c>
      <c r="B13" s="48" t="s">
        <v>713</v>
      </c>
      <c r="C13" s="48">
        <v>5</v>
      </c>
      <c r="D13" s="48" t="s">
        <v>713</v>
      </c>
      <c r="E13" s="48">
        <v>5</v>
      </c>
      <c r="F13" s="48" t="s">
        <v>713</v>
      </c>
      <c r="G13" s="48">
        <v>5</v>
      </c>
      <c r="H13" s="48" t="s">
        <v>713</v>
      </c>
      <c r="I13" s="48">
        <v>5</v>
      </c>
      <c r="J13" s="56" t="s">
        <v>17</v>
      </c>
      <c r="K13" s="48"/>
      <c r="L13" s="48" t="s">
        <v>713</v>
      </c>
      <c r="M13" s="48">
        <v>5</v>
      </c>
      <c r="N13" s="18"/>
      <c r="O13" s="18"/>
      <c r="P13" s="3">
        <f t="shared" si="0"/>
        <v>25</v>
      </c>
      <c r="R13" s="121"/>
      <c r="S13" s="121"/>
      <c r="T13" s="121"/>
      <c r="U13" s="121"/>
    </row>
    <row r="14" spans="1:22">
      <c r="A14" s="60" t="s">
        <v>716</v>
      </c>
      <c r="B14" s="45" t="s">
        <v>774</v>
      </c>
      <c r="C14" s="48">
        <v>7.5</v>
      </c>
      <c r="D14" s="56" t="s">
        <v>775</v>
      </c>
      <c r="E14" s="48">
        <v>8.5</v>
      </c>
      <c r="F14" s="56" t="s">
        <v>373</v>
      </c>
      <c r="G14" s="48">
        <v>7.5</v>
      </c>
      <c r="H14" s="48" t="s">
        <v>26</v>
      </c>
      <c r="I14" s="48"/>
      <c r="J14" s="48" t="s">
        <v>17</v>
      </c>
      <c r="K14" s="48"/>
      <c r="L14" s="56" t="s">
        <v>26</v>
      </c>
      <c r="M14" s="48"/>
      <c r="N14" s="18" t="s">
        <v>26</v>
      </c>
      <c r="O14" s="18"/>
      <c r="P14" s="3">
        <f t="shared" si="0"/>
        <v>23.5</v>
      </c>
      <c r="R14" s="121"/>
      <c r="S14" s="121"/>
      <c r="T14" s="121"/>
      <c r="U14" s="121"/>
    </row>
    <row r="15" spans="1:22" ht="28.9">
      <c r="A15" s="163" t="s">
        <v>719</v>
      </c>
      <c r="B15" s="45" t="s">
        <v>768</v>
      </c>
      <c r="C15" s="48">
        <v>5</v>
      </c>
      <c r="D15" s="50" t="s">
        <v>776</v>
      </c>
      <c r="E15" s="48">
        <v>8.5</v>
      </c>
      <c r="F15" s="56" t="s">
        <v>777</v>
      </c>
      <c r="G15" s="48">
        <v>7.5</v>
      </c>
      <c r="H15" s="48" t="s">
        <v>778</v>
      </c>
      <c r="I15" s="48">
        <v>4</v>
      </c>
      <c r="J15" s="45" t="s">
        <v>17</v>
      </c>
      <c r="K15" s="48"/>
      <c r="L15" s="48"/>
      <c r="M15" s="48"/>
      <c r="N15" s="18"/>
      <c r="O15" s="18"/>
      <c r="P15" s="3">
        <f t="shared" si="0"/>
        <v>25</v>
      </c>
      <c r="R15" s="121"/>
      <c r="S15" s="121"/>
      <c r="T15" s="121"/>
      <c r="U15" s="121"/>
    </row>
    <row r="16" spans="1:22" ht="18">
      <c r="A16" s="163" t="s">
        <v>725</v>
      </c>
      <c r="B16" s="56" t="s">
        <v>779</v>
      </c>
      <c r="C16" s="48">
        <v>7.5</v>
      </c>
      <c r="D16" s="312" t="s">
        <v>780</v>
      </c>
      <c r="E16" s="48">
        <v>5</v>
      </c>
      <c r="F16" s="60" t="s">
        <v>26</v>
      </c>
      <c r="G16" s="48"/>
      <c r="H16" s="56" t="s">
        <v>595</v>
      </c>
      <c r="I16" s="48">
        <v>7.5</v>
      </c>
      <c r="J16" s="56" t="s">
        <v>17</v>
      </c>
      <c r="K16" s="48"/>
      <c r="L16" s="273"/>
      <c r="M16" s="48"/>
      <c r="N16" s="18"/>
      <c r="O16" s="18"/>
      <c r="P16" s="3">
        <f t="shared" si="0"/>
        <v>20</v>
      </c>
      <c r="R16" s="299" t="s">
        <v>74</v>
      </c>
      <c r="S16" s="299"/>
      <c r="T16" s="299" t="s">
        <v>75</v>
      </c>
      <c r="U16" s="299"/>
      <c r="V16" s="300"/>
    </row>
    <row r="17" spans="1:21" ht="28.9">
      <c r="A17" s="45" t="s">
        <v>730</v>
      </c>
      <c r="B17" s="45" t="s">
        <v>731</v>
      </c>
      <c r="C17" s="48">
        <v>5</v>
      </c>
      <c r="D17" s="45" t="s">
        <v>731</v>
      </c>
      <c r="E17" s="48">
        <v>5</v>
      </c>
      <c r="F17" s="45" t="s">
        <v>731</v>
      </c>
      <c r="G17" s="48">
        <v>5</v>
      </c>
      <c r="H17" s="45" t="s">
        <v>731</v>
      </c>
      <c r="I17" s="48">
        <v>5</v>
      </c>
      <c r="J17" s="298" t="s">
        <v>17</v>
      </c>
      <c r="K17" s="18"/>
      <c r="L17" s="45" t="s">
        <v>731</v>
      </c>
      <c r="M17" s="48">
        <v>5</v>
      </c>
      <c r="N17" s="18"/>
      <c r="O17" s="18"/>
      <c r="P17" s="3">
        <f t="shared" si="0"/>
        <v>25</v>
      </c>
      <c r="R17" s="121"/>
      <c r="S17" s="121"/>
      <c r="T17" s="121"/>
      <c r="U17" s="121"/>
    </row>
    <row r="18" spans="1:21" ht="28.9">
      <c r="A18" s="45" t="s">
        <v>734</v>
      </c>
      <c r="B18" s="69"/>
      <c r="C18" s="48"/>
      <c r="D18" s="45" t="s">
        <v>781</v>
      </c>
      <c r="E18" s="48">
        <v>5</v>
      </c>
      <c r="F18" s="45" t="s">
        <v>782</v>
      </c>
      <c r="G18" s="48">
        <v>3.5</v>
      </c>
      <c r="H18" s="69"/>
      <c r="I18" s="48"/>
      <c r="J18" s="82" t="s">
        <v>17</v>
      </c>
      <c r="K18" s="18"/>
      <c r="L18" s="45"/>
      <c r="M18" s="48"/>
      <c r="N18" s="18"/>
      <c r="O18" s="18"/>
      <c r="P18" s="3">
        <f t="shared" si="0"/>
        <v>8.5</v>
      </c>
      <c r="R18" s="121"/>
      <c r="S18" s="121"/>
      <c r="T18" s="121"/>
      <c r="U18" s="121"/>
    </row>
    <row r="19" spans="1:21">
      <c r="A19" s="45" t="s">
        <v>783</v>
      </c>
      <c r="B19" s="69"/>
      <c r="C19" s="48"/>
      <c r="D19" s="69"/>
      <c r="E19" s="48"/>
      <c r="F19" s="45"/>
      <c r="G19" s="48"/>
      <c r="H19" s="45" t="s">
        <v>784</v>
      </c>
      <c r="I19" s="48">
        <v>5</v>
      </c>
      <c r="J19" s="82"/>
      <c r="K19" s="18"/>
      <c r="L19" s="45"/>
      <c r="M19" s="48"/>
      <c r="N19" s="18"/>
      <c r="O19" s="18"/>
      <c r="P19" s="3">
        <f t="shared" si="0"/>
        <v>5</v>
      </c>
      <c r="R19" s="121"/>
      <c r="S19" s="121"/>
      <c r="T19" s="121"/>
      <c r="U19" s="121"/>
    </row>
    <row r="20" spans="1:21" ht="28.9">
      <c r="A20" s="45" t="s">
        <v>785</v>
      </c>
      <c r="B20" s="69"/>
      <c r="C20" s="18"/>
      <c r="D20" s="82" t="s">
        <v>786</v>
      </c>
      <c r="E20" s="18">
        <v>7.5</v>
      </c>
      <c r="F20" s="303"/>
      <c r="G20" s="18"/>
      <c r="H20" s="303" t="s">
        <v>787</v>
      </c>
      <c r="I20" s="18">
        <v>3.5</v>
      </c>
      <c r="J20" s="50" t="s">
        <v>17</v>
      </c>
      <c r="K20" s="18"/>
      <c r="L20" s="303" t="s">
        <v>788</v>
      </c>
      <c r="M20" s="18">
        <v>4</v>
      </c>
      <c r="N20" s="18"/>
      <c r="O20" s="18"/>
      <c r="P20" s="3">
        <f t="shared" si="0"/>
        <v>15</v>
      </c>
      <c r="R20" s="121"/>
      <c r="S20" s="121"/>
      <c r="T20" s="121"/>
      <c r="U20" s="121"/>
    </row>
    <row r="21" spans="1:21">
      <c r="A21" s="45" t="s">
        <v>789</v>
      </c>
      <c r="B21" s="82"/>
      <c r="C21" s="18"/>
      <c r="D21" s="305" t="s">
        <v>790</v>
      </c>
      <c r="E21" s="18">
        <v>4</v>
      </c>
      <c r="F21" s="302" t="s">
        <v>791</v>
      </c>
      <c r="G21" s="18">
        <v>5</v>
      </c>
      <c r="H21" s="304" t="s">
        <v>792</v>
      </c>
      <c r="I21" s="18">
        <v>6</v>
      </c>
      <c r="J21" s="273"/>
      <c r="K21" s="18"/>
      <c r="L21" s="273"/>
      <c r="M21" s="18"/>
      <c r="N21" s="18"/>
      <c r="O21" s="18"/>
      <c r="P21" s="3">
        <f t="shared" si="0"/>
        <v>15</v>
      </c>
    </row>
    <row r="22" spans="1:21">
      <c r="A22" s="52" t="s">
        <v>95</v>
      </c>
      <c r="B22" s="3"/>
      <c r="C22" s="3">
        <f>SUM(C6:C21)</f>
        <v>62</v>
      </c>
      <c r="D22" s="3"/>
      <c r="E22" s="3">
        <f>SUM(E6:E21)</f>
        <v>88.5</v>
      </c>
      <c r="F22" s="3"/>
      <c r="G22" s="3">
        <f>SUM(G6:G21)</f>
        <v>53</v>
      </c>
      <c r="H22" s="3"/>
      <c r="I22" s="3">
        <f>SUM(I6:I21)</f>
        <v>65</v>
      </c>
      <c r="J22" s="3"/>
      <c r="K22" s="3">
        <f>SUM(K6:K21)</f>
        <v>0</v>
      </c>
      <c r="L22" s="3"/>
      <c r="M22" s="3">
        <f>SUM(M6:M21)</f>
        <v>40.5</v>
      </c>
      <c r="N22" s="3"/>
      <c r="O22" s="3">
        <f>SUM(O6:O21)</f>
        <v>0</v>
      </c>
      <c r="P22" s="3">
        <f>SUM(O22,M22,K22,I22,G22,E22,C22)</f>
        <v>309</v>
      </c>
    </row>
    <row r="23" spans="1:21">
      <c r="C23">
        <f>C22*20</f>
        <v>1240</v>
      </c>
      <c r="E23">
        <f>E22*20</f>
        <v>1770</v>
      </c>
      <c r="G23">
        <f>G22*20</f>
        <v>1060</v>
      </c>
      <c r="I23">
        <f>I22*20</f>
        <v>1300</v>
      </c>
      <c r="K23">
        <f>K22*20</f>
        <v>0</v>
      </c>
      <c r="M23">
        <f>M22*20</f>
        <v>810</v>
      </c>
    </row>
    <row r="25" spans="1:21" ht="15" thickBot="1">
      <c r="A25" s="264" t="s">
        <v>96</v>
      </c>
      <c r="B25" s="264"/>
      <c r="C25" s="117"/>
      <c r="D25" s="121"/>
    </row>
    <row r="26" spans="1:21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21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21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  <c r="Q28">
        <f>P22*20</f>
        <v>6180</v>
      </c>
    </row>
    <row r="29" spans="1:21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21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21" ht="20.45" customHeight="1">
      <c r="A31" s="150" t="s">
        <v>113</v>
      </c>
      <c r="D31" s="437" t="s">
        <v>114</v>
      </c>
      <c r="E31" s="438"/>
      <c r="F31" s="438"/>
      <c r="G31" s="438"/>
      <c r="H31" s="438"/>
      <c r="I31" s="438"/>
      <c r="J31" s="439"/>
    </row>
    <row r="32" spans="1:21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  <c r="T32" t="s">
        <v>110</v>
      </c>
    </row>
    <row r="33" spans="1:10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10" ht="15" thickBot="1">
      <c r="D34" s="431" t="s">
        <v>119</v>
      </c>
      <c r="E34" s="432"/>
      <c r="F34" s="432"/>
      <c r="G34" s="432"/>
      <c r="H34" s="432"/>
      <c r="I34" s="432"/>
      <c r="J34" s="433"/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8316-D554-4A0B-B753-D1933E93CA0F}">
  <sheetPr>
    <tabColor theme="9"/>
  </sheetPr>
  <dimension ref="A1:V33"/>
  <sheetViews>
    <sheetView topLeftCell="A3" zoomScale="70" zoomScaleNormal="70" workbookViewId="0">
      <selection activeCell="M4" sqref="M4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46104</v>
      </c>
      <c r="C2" s="6"/>
      <c r="D2" s="5">
        <v>46105</v>
      </c>
      <c r="E2" s="6"/>
      <c r="F2" s="5">
        <v>46106</v>
      </c>
      <c r="G2" s="6"/>
      <c r="H2" s="5">
        <v>46107</v>
      </c>
      <c r="I2" s="6"/>
      <c r="J2" s="5">
        <v>46108</v>
      </c>
      <c r="K2" s="6"/>
      <c r="L2" s="5">
        <v>46109</v>
      </c>
      <c r="M2" s="6"/>
      <c r="N2" s="5">
        <v>46110</v>
      </c>
      <c r="O2" s="7"/>
      <c r="P2" s="3"/>
    </row>
    <row r="3" spans="1:22" ht="63" customHeight="1">
      <c r="A3" s="8" t="s">
        <v>9</v>
      </c>
      <c r="B3" s="308" t="s">
        <v>793</v>
      </c>
      <c r="C3" s="10"/>
      <c r="D3" s="9"/>
      <c r="E3" s="10"/>
      <c r="F3" s="9"/>
      <c r="G3" s="11"/>
      <c r="H3" s="311" t="s">
        <v>794</v>
      </c>
      <c r="I3" s="10"/>
      <c r="J3" s="309" t="s">
        <v>795</v>
      </c>
      <c r="K3" s="10"/>
      <c r="L3" s="9"/>
      <c r="M3" s="13"/>
      <c r="N3" s="9"/>
      <c r="O3" s="15"/>
      <c r="P3" s="3"/>
    </row>
    <row r="4" spans="1:22">
      <c r="A4" s="82" t="s">
        <v>14</v>
      </c>
      <c r="B4" s="294" t="s">
        <v>796</v>
      </c>
      <c r="C4" s="18">
        <v>7.5</v>
      </c>
      <c r="D4" s="18" t="s">
        <v>797</v>
      </c>
      <c r="E4" s="18">
        <v>9.5</v>
      </c>
      <c r="F4" s="18" t="s">
        <v>798</v>
      </c>
      <c r="G4" s="18">
        <v>9</v>
      </c>
      <c r="H4" s="18" t="s">
        <v>799</v>
      </c>
      <c r="I4" s="18">
        <v>11</v>
      </c>
      <c r="J4" s="18" t="s">
        <v>800</v>
      </c>
      <c r="K4" s="18">
        <v>6</v>
      </c>
      <c r="L4" s="289"/>
      <c r="M4" s="18"/>
      <c r="N4" s="18"/>
      <c r="O4" s="18"/>
      <c r="P4" s="3">
        <f t="shared" ref="P4:P20" si="0">SUM(O4,M4,K4,I4,G4,E4,C4)</f>
        <v>43</v>
      </c>
    </row>
    <row r="5" spans="1:22" ht="28.9">
      <c r="A5" s="45" t="s">
        <v>18</v>
      </c>
      <c r="B5" s="18" t="s">
        <v>15</v>
      </c>
      <c r="C5" s="18">
        <v>8</v>
      </c>
      <c r="D5" s="18" t="s">
        <v>801</v>
      </c>
      <c r="E5" s="18">
        <v>8</v>
      </c>
      <c r="F5" s="18" t="s">
        <v>16</v>
      </c>
      <c r="G5" s="18">
        <v>8</v>
      </c>
      <c r="H5" s="82" t="s">
        <v>802</v>
      </c>
      <c r="I5" s="18">
        <v>8</v>
      </c>
      <c r="J5" s="18" t="s">
        <v>803</v>
      </c>
      <c r="K5" s="18">
        <v>8</v>
      </c>
      <c r="L5" s="289"/>
      <c r="M5" s="18"/>
      <c r="N5" s="18"/>
      <c r="O5" s="18"/>
      <c r="P5" s="3">
        <f t="shared" si="0"/>
        <v>40</v>
      </c>
    </row>
    <row r="6" spans="1:22" ht="43.15">
      <c r="A6" s="163" t="s">
        <v>214</v>
      </c>
      <c r="B6" s="45" t="s">
        <v>804</v>
      </c>
      <c r="C6" s="48">
        <v>8.5</v>
      </c>
      <c r="D6" s="45" t="s">
        <v>805</v>
      </c>
      <c r="E6" s="48">
        <v>5</v>
      </c>
      <c r="F6" s="135" t="s">
        <v>806</v>
      </c>
      <c r="G6" s="48"/>
      <c r="H6" s="82" t="s">
        <v>807</v>
      </c>
      <c r="I6" s="48"/>
      <c r="J6" s="240" t="s">
        <v>806</v>
      </c>
      <c r="K6" s="18"/>
      <c r="L6" s="56"/>
      <c r="M6" s="48"/>
      <c r="N6" s="45"/>
      <c r="O6" s="18"/>
      <c r="P6" s="3">
        <f>SUM(O6,M6,K6,I6,G6,E6,C6)</f>
        <v>13.5</v>
      </c>
    </row>
    <row r="7" spans="1:22" ht="28.9">
      <c r="A7" s="163" t="s">
        <v>694</v>
      </c>
      <c r="B7" s="56" t="s">
        <v>808</v>
      </c>
      <c r="C7" s="48">
        <v>7.5</v>
      </c>
      <c r="D7" s="56"/>
      <c r="E7" s="48"/>
      <c r="F7" s="133" t="s">
        <v>809</v>
      </c>
      <c r="G7" s="48">
        <v>5</v>
      </c>
      <c r="H7" s="310" t="s">
        <v>810</v>
      </c>
      <c r="I7" s="48">
        <v>7</v>
      </c>
      <c r="J7" s="56" t="s">
        <v>811</v>
      </c>
      <c r="K7" s="48">
        <v>7.5</v>
      </c>
      <c r="L7" s="38"/>
      <c r="M7" s="47"/>
      <c r="N7" s="18"/>
      <c r="O7" s="18"/>
      <c r="P7" s="3">
        <f t="shared" si="0"/>
        <v>27</v>
      </c>
      <c r="R7" s="121" t="s">
        <v>31</v>
      </c>
      <c r="S7" s="121" t="s">
        <v>32</v>
      </c>
      <c r="T7" s="121" t="s">
        <v>33</v>
      </c>
      <c r="U7" s="121"/>
    </row>
    <row r="8" spans="1:22" ht="43.15">
      <c r="A8" s="128" t="s">
        <v>698</v>
      </c>
      <c r="B8" s="45" t="s">
        <v>812</v>
      </c>
      <c r="C8" s="48">
        <v>8</v>
      </c>
      <c r="D8" s="297" t="s">
        <v>526</v>
      </c>
      <c r="E8" s="48">
        <v>6.5</v>
      </c>
      <c r="F8" s="45" t="s">
        <v>813</v>
      </c>
      <c r="G8" s="48">
        <v>8</v>
      </c>
      <c r="H8" s="38"/>
      <c r="I8" s="48"/>
      <c r="J8" s="132" t="s">
        <v>814</v>
      </c>
      <c r="K8" s="48">
        <v>3</v>
      </c>
      <c r="L8" s="45"/>
      <c r="M8" s="48"/>
      <c r="N8" s="18"/>
      <c r="O8" s="18"/>
      <c r="P8" s="3">
        <f t="shared" si="0"/>
        <v>25.5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8" t="s">
        <v>815</v>
      </c>
      <c r="C9" s="48">
        <v>4</v>
      </c>
      <c r="D9" s="48"/>
      <c r="E9" s="48"/>
      <c r="F9" s="38"/>
      <c r="G9" s="48"/>
      <c r="H9" s="48" t="s">
        <v>816</v>
      </c>
      <c r="I9" s="48">
        <v>5</v>
      </c>
      <c r="J9" s="48" t="s">
        <v>817</v>
      </c>
      <c r="K9" s="48">
        <v>5</v>
      </c>
      <c r="L9" s="48"/>
      <c r="M9" s="48"/>
      <c r="N9" s="18"/>
      <c r="O9" s="18"/>
      <c r="P9" s="3">
        <f t="shared" si="0"/>
        <v>14</v>
      </c>
      <c r="R9" s="121"/>
      <c r="S9" s="121"/>
      <c r="T9" s="260"/>
      <c r="U9" s="121" t="s">
        <v>45</v>
      </c>
    </row>
    <row r="10" spans="1:22" ht="57.6">
      <c r="A10" s="128" t="s">
        <v>704</v>
      </c>
      <c r="B10" s="48" t="s">
        <v>818</v>
      </c>
      <c r="C10" s="48">
        <v>4.5</v>
      </c>
      <c r="D10" s="45" t="s">
        <v>819</v>
      </c>
      <c r="E10" s="48">
        <v>4.5</v>
      </c>
      <c r="F10" s="45"/>
      <c r="G10" s="48"/>
      <c r="H10" s="48" t="s">
        <v>820</v>
      </c>
      <c r="I10" s="48">
        <v>10</v>
      </c>
      <c r="J10" s="38"/>
      <c r="K10" s="48"/>
      <c r="L10" s="48" t="s">
        <v>821</v>
      </c>
      <c r="M10" s="48">
        <v>7.5</v>
      </c>
      <c r="N10" s="18"/>
      <c r="O10" s="18"/>
      <c r="P10" s="3">
        <f>SUM(O10,M10,K10,I10,G10,E10,C10)</f>
        <v>26.5</v>
      </c>
      <c r="R10" s="121"/>
      <c r="S10" s="121"/>
      <c r="T10" s="121"/>
      <c r="U10" s="121" t="s">
        <v>50</v>
      </c>
    </row>
    <row r="11" spans="1:22" ht="43.15">
      <c r="A11" s="45" t="s">
        <v>708</v>
      </c>
      <c r="B11" s="101" t="s">
        <v>822</v>
      </c>
      <c r="C11" s="48">
        <v>3</v>
      </c>
      <c r="D11" s="133" t="s">
        <v>823</v>
      </c>
      <c r="E11" s="48">
        <v>4</v>
      </c>
      <c r="F11" s="60" t="s">
        <v>824</v>
      </c>
      <c r="G11" s="48">
        <v>9.5</v>
      </c>
      <c r="H11" s="56" t="s">
        <v>825</v>
      </c>
      <c r="I11" s="48">
        <v>7.5</v>
      </c>
      <c r="J11" s="38"/>
      <c r="K11" s="48"/>
      <c r="L11" s="38"/>
      <c r="M11" s="48"/>
      <c r="N11" s="18"/>
      <c r="O11" s="18"/>
      <c r="P11" s="3">
        <f>SUM(O11,M11,K11,I11,G11,E11,C11)</f>
        <v>24</v>
      </c>
      <c r="R11" s="121"/>
      <c r="S11" s="121"/>
      <c r="T11" s="121"/>
      <c r="U11" s="121" t="s">
        <v>601</v>
      </c>
    </row>
    <row r="12" spans="1:22" ht="28.9">
      <c r="A12" s="163" t="s">
        <v>710</v>
      </c>
      <c r="B12" s="56" t="s">
        <v>826</v>
      </c>
      <c r="C12" s="48">
        <v>3</v>
      </c>
      <c r="D12" s="56" t="s">
        <v>827</v>
      </c>
      <c r="E12" s="48">
        <v>8.5</v>
      </c>
      <c r="F12" s="76"/>
      <c r="G12" s="48"/>
      <c r="H12" s="48"/>
      <c r="I12" s="48"/>
      <c r="J12" s="157" t="s">
        <v>828</v>
      </c>
      <c r="K12" s="48">
        <v>6.5</v>
      </c>
      <c r="L12" s="56" t="s">
        <v>829</v>
      </c>
      <c r="M12" s="48">
        <v>7.5</v>
      </c>
      <c r="N12" s="18"/>
      <c r="O12" s="18"/>
      <c r="P12" s="3">
        <f t="shared" ref="P12:P13" si="1">SUM(O12,M12,K12,I12,G12,E12,C12)</f>
        <v>25.5</v>
      </c>
      <c r="R12" s="121"/>
      <c r="S12" s="121"/>
      <c r="T12" s="121"/>
      <c r="U12" s="121" t="s">
        <v>58</v>
      </c>
    </row>
    <row r="13" spans="1:22" ht="28.9">
      <c r="A13" s="163" t="s">
        <v>830</v>
      </c>
      <c r="B13" s="48" t="s">
        <v>831</v>
      </c>
      <c r="C13" s="48">
        <v>5</v>
      </c>
      <c r="D13" s="48" t="s">
        <v>831</v>
      </c>
      <c r="E13" s="48">
        <v>5</v>
      </c>
      <c r="F13" s="48" t="s">
        <v>832</v>
      </c>
      <c r="G13" s="48">
        <v>5</v>
      </c>
      <c r="H13" s="48"/>
      <c r="I13" s="48"/>
      <c r="J13" s="56"/>
      <c r="K13" s="48"/>
      <c r="L13" s="48" t="s">
        <v>833</v>
      </c>
      <c r="M13" s="48">
        <v>5</v>
      </c>
      <c r="N13" s="18"/>
      <c r="O13" s="18"/>
      <c r="P13" s="3">
        <f t="shared" si="1"/>
        <v>20</v>
      </c>
      <c r="R13" s="121"/>
      <c r="S13" s="121"/>
      <c r="T13" s="121"/>
      <c r="U13" s="121"/>
    </row>
    <row r="14" spans="1:22" ht="43.15">
      <c r="A14" s="60" t="s">
        <v>716</v>
      </c>
      <c r="B14" s="82"/>
      <c r="C14" s="18"/>
      <c r="D14" s="56" t="s">
        <v>829</v>
      </c>
      <c r="E14" s="48">
        <v>7.5</v>
      </c>
      <c r="F14" s="56"/>
      <c r="G14" s="48"/>
      <c r="H14" s="48" t="s">
        <v>765</v>
      </c>
      <c r="I14" s="48">
        <v>7</v>
      </c>
      <c r="J14" s="48" t="s">
        <v>834</v>
      </c>
      <c r="K14" s="48">
        <v>9.5</v>
      </c>
      <c r="L14" s="56"/>
      <c r="M14" s="48"/>
      <c r="N14" s="18"/>
      <c r="O14" s="18"/>
      <c r="P14" s="3">
        <f t="shared" si="0"/>
        <v>24</v>
      </c>
      <c r="R14" s="121"/>
      <c r="S14" s="121"/>
      <c r="T14" s="121"/>
      <c r="U14" s="121"/>
    </row>
    <row r="15" spans="1:22" ht="28.9">
      <c r="A15" s="163" t="s">
        <v>719</v>
      </c>
      <c r="B15" s="45" t="s">
        <v>26</v>
      </c>
      <c r="C15" s="48"/>
      <c r="D15" s="56"/>
      <c r="E15" s="48"/>
      <c r="F15" s="48" t="s">
        <v>835</v>
      </c>
      <c r="G15" s="48">
        <v>5</v>
      </c>
      <c r="H15" s="18" t="s">
        <v>836</v>
      </c>
      <c r="I15" s="48">
        <v>3.5</v>
      </c>
      <c r="J15" s="50" t="s">
        <v>837</v>
      </c>
      <c r="K15" s="18">
        <v>7.5</v>
      </c>
      <c r="L15" s="56" t="s">
        <v>838</v>
      </c>
      <c r="M15" s="48">
        <v>7</v>
      </c>
      <c r="N15" s="18"/>
      <c r="O15" s="18"/>
      <c r="P15" s="3">
        <f t="shared" si="0"/>
        <v>23</v>
      </c>
      <c r="R15" s="121"/>
      <c r="S15" s="121"/>
      <c r="T15" s="121"/>
      <c r="U15" s="121"/>
    </row>
    <row r="16" spans="1:22" ht="29.45">
      <c r="A16" s="163" t="s">
        <v>725</v>
      </c>
      <c r="B16" s="56" t="s">
        <v>829</v>
      </c>
      <c r="C16" s="48">
        <v>7.5</v>
      </c>
      <c r="D16" s="283"/>
      <c r="E16" s="48"/>
      <c r="F16" s="56" t="s">
        <v>839</v>
      </c>
      <c r="G16" s="48">
        <v>9.5</v>
      </c>
      <c r="H16" s="60" t="s">
        <v>840</v>
      </c>
      <c r="I16" s="48">
        <v>6.5</v>
      </c>
      <c r="J16" s="56" t="s">
        <v>841</v>
      </c>
      <c r="K16" s="48">
        <v>2</v>
      </c>
      <c r="L16" s="273"/>
      <c r="M16" s="48"/>
      <c r="N16" s="18"/>
      <c r="O16" s="18"/>
      <c r="P16" s="3">
        <f t="shared" si="0"/>
        <v>25.5</v>
      </c>
      <c r="R16" s="299" t="s">
        <v>74</v>
      </c>
      <c r="S16" s="299"/>
      <c r="T16" s="299" t="s">
        <v>75</v>
      </c>
      <c r="U16" s="299"/>
      <c r="V16" s="300"/>
    </row>
    <row r="17" spans="1:21" ht="62.45" customHeight="1">
      <c r="A17" s="45" t="s">
        <v>730</v>
      </c>
      <c r="B17" s="45" t="s">
        <v>842</v>
      </c>
      <c r="C17" s="48">
        <v>5</v>
      </c>
      <c r="D17" s="45" t="s">
        <v>842</v>
      </c>
      <c r="E17" s="48">
        <v>5</v>
      </c>
      <c r="F17" s="45" t="s">
        <v>842</v>
      </c>
      <c r="G17" s="48">
        <v>5</v>
      </c>
      <c r="H17" s="45"/>
      <c r="I17" s="48"/>
      <c r="J17" s="45" t="s">
        <v>842</v>
      </c>
      <c r="K17" s="48">
        <v>5</v>
      </c>
      <c r="L17" s="45" t="s">
        <v>842</v>
      </c>
      <c r="M17" s="48">
        <v>5</v>
      </c>
      <c r="N17" s="18"/>
      <c r="O17" s="18"/>
      <c r="P17" s="3">
        <f t="shared" si="0"/>
        <v>25</v>
      </c>
      <c r="R17" s="121"/>
      <c r="S17" s="121"/>
      <c r="T17" s="121"/>
      <c r="U17" s="121"/>
    </row>
    <row r="18" spans="1:21" ht="28.9">
      <c r="A18" s="45" t="s">
        <v>734</v>
      </c>
      <c r="B18" s="69"/>
      <c r="C18" s="48"/>
      <c r="D18" s="45"/>
      <c r="E18" s="48"/>
      <c r="F18" s="45" t="s">
        <v>705</v>
      </c>
      <c r="G18" s="48">
        <v>3.5</v>
      </c>
      <c r="H18" s="69"/>
      <c r="I18" s="48"/>
      <c r="J18" s="45" t="s">
        <v>705</v>
      </c>
      <c r="K18" s="48">
        <v>3.5</v>
      </c>
      <c r="L18" s="45" t="s">
        <v>843</v>
      </c>
      <c r="M18" s="48">
        <v>5</v>
      </c>
      <c r="N18" s="18"/>
      <c r="O18" s="18"/>
      <c r="P18" s="3">
        <f t="shared" si="0"/>
        <v>12</v>
      </c>
      <c r="R18" s="121"/>
      <c r="S18" s="121"/>
      <c r="T18" s="121"/>
      <c r="U18" s="121"/>
    </row>
    <row r="19" spans="1:21" ht="28.9">
      <c r="A19" s="45" t="s">
        <v>80</v>
      </c>
      <c r="B19" s="69"/>
      <c r="C19" s="18"/>
      <c r="D19" s="82" t="s">
        <v>844</v>
      </c>
      <c r="E19" s="18">
        <v>7.5</v>
      </c>
      <c r="F19" s="303"/>
      <c r="G19" s="18"/>
      <c r="H19" s="303"/>
      <c r="I19" s="18"/>
      <c r="J19" s="50" t="s">
        <v>845</v>
      </c>
      <c r="K19" s="18">
        <v>7.5</v>
      </c>
      <c r="L19" s="303"/>
      <c r="M19" s="18"/>
      <c r="N19" s="18"/>
      <c r="O19" s="18"/>
      <c r="P19" s="3">
        <f t="shared" si="0"/>
        <v>15</v>
      </c>
      <c r="R19" s="121"/>
      <c r="S19" s="121"/>
      <c r="T19" s="121"/>
      <c r="U19" s="121"/>
    </row>
    <row r="20" spans="1:21" ht="43.15">
      <c r="A20" s="45" t="s">
        <v>846</v>
      </c>
      <c r="B20" s="82" t="s">
        <v>847</v>
      </c>
      <c r="C20" s="18">
        <v>8.5</v>
      </c>
      <c r="D20" s="305"/>
      <c r="E20" s="18"/>
      <c r="F20" s="302" t="s">
        <v>848</v>
      </c>
      <c r="G20" s="18">
        <v>6.5</v>
      </c>
      <c r="H20" s="304"/>
      <c r="I20" s="18"/>
      <c r="J20" s="273"/>
      <c r="K20" s="18"/>
      <c r="L20" s="273"/>
      <c r="M20" s="18"/>
      <c r="N20" s="18"/>
      <c r="O20" s="18"/>
      <c r="P20" s="3">
        <f t="shared" si="0"/>
        <v>15</v>
      </c>
    </row>
    <row r="21" spans="1:21">
      <c r="A21" s="52" t="s">
        <v>95</v>
      </c>
      <c r="B21" s="3"/>
      <c r="C21" s="3">
        <f>SUM(C7:C14)</f>
        <v>35</v>
      </c>
      <c r="D21" s="3"/>
      <c r="E21" s="3">
        <f>SUM(E6:E20)</f>
        <v>53.5</v>
      </c>
      <c r="F21" s="3"/>
      <c r="G21" s="3">
        <f>SUM(G6:G20)</f>
        <v>57</v>
      </c>
      <c r="H21" s="3"/>
      <c r="I21" s="3">
        <f>SUM(I6:I20)</f>
        <v>46.5</v>
      </c>
      <c r="J21" s="3"/>
      <c r="K21" s="3">
        <f>SUM(K6:K20)</f>
        <v>57</v>
      </c>
      <c r="L21" s="3"/>
      <c r="M21" s="3">
        <f>SUM(M6:M20)</f>
        <v>37</v>
      </c>
      <c r="N21" s="3"/>
      <c r="O21" s="3">
        <f>SUM(O6:O20)</f>
        <v>0</v>
      </c>
      <c r="P21" s="3">
        <f>SUM(O21,M21,K21,I21,G21,E21,C21)</f>
        <v>286</v>
      </c>
    </row>
    <row r="22" spans="1:21">
      <c r="C22">
        <f>C21*20</f>
        <v>700</v>
      </c>
      <c r="G22">
        <f>G21*20</f>
        <v>1140</v>
      </c>
      <c r="I22">
        <f>I21*20</f>
        <v>930</v>
      </c>
      <c r="K22">
        <f>K21*20</f>
        <v>1140</v>
      </c>
      <c r="M22">
        <f>M21*20</f>
        <v>740</v>
      </c>
    </row>
    <row r="24" spans="1:21" ht="15" thickBot="1">
      <c r="A24" s="264" t="s">
        <v>96</v>
      </c>
      <c r="B24" s="264"/>
      <c r="C24" s="117"/>
      <c r="D24" s="121"/>
    </row>
    <row r="25" spans="1:21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1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21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  <c r="Q27">
        <f>P21*20</f>
        <v>5720</v>
      </c>
    </row>
    <row r="28" spans="1:21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1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1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1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  <c r="T31" t="s">
        <v>110</v>
      </c>
    </row>
    <row r="32" spans="1:21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ED98-20AC-479F-932C-6E5148BA03D6}">
  <sheetPr>
    <tabColor theme="9"/>
  </sheetPr>
  <dimension ref="A1:V33"/>
  <sheetViews>
    <sheetView topLeftCell="A10" zoomScale="90" zoomScaleNormal="90" zoomScaleSheetLayoutView="100" workbookViewId="0">
      <selection activeCell="K5" sqref="K5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10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46097</v>
      </c>
      <c r="C2" s="6"/>
      <c r="D2" s="5">
        <v>46098</v>
      </c>
      <c r="E2" s="6"/>
      <c r="F2" s="5">
        <v>46099</v>
      </c>
      <c r="G2" s="6"/>
      <c r="H2" s="5">
        <v>46100</v>
      </c>
      <c r="I2" s="6"/>
      <c r="J2" s="5">
        <v>46101</v>
      </c>
      <c r="K2" s="6"/>
      <c r="L2" s="5">
        <v>46102</v>
      </c>
      <c r="M2" s="6"/>
      <c r="N2" s="5">
        <v>46103</v>
      </c>
      <c r="O2" s="7"/>
      <c r="P2" s="3"/>
    </row>
    <row r="3" spans="1:22" ht="28.9">
      <c r="A3" s="8" t="s">
        <v>9</v>
      </c>
      <c r="B3" s="9"/>
      <c r="C3" s="10"/>
      <c r="D3" s="9" t="s">
        <v>849</v>
      </c>
      <c r="E3" s="10"/>
      <c r="F3" s="9"/>
      <c r="G3" s="11"/>
      <c r="H3" s="288"/>
      <c r="I3" s="10"/>
      <c r="J3" s="285" t="s">
        <v>850</v>
      </c>
      <c r="K3" s="10"/>
      <c r="L3" s="9"/>
      <c r="M3" s="13"/>
      <c r="N3" s="9"/>
      <c r="O3" s="15"/>
      <c r="P3" s="3"/>
    </row>
    <row r="4" spans="1:22">
      <c r="A4" s="82" t="s">
        <v>14</v>
      </c>
      <c r="B4" s="294" t="s">
        <v>209</v>
      </c>
      <c r="C4" s="18">
        <v>8</v>
      </c>
      <c r="D4" s="18" t="s">
        <v>460</v>
      </c>
      <c r="E4" s="18">
        <v>9</v>
      </c>
      <c r="F4" s="18" t="s">
        <v>851</v>
      </c>
      <c r="G4" s="18">
        <v>7.75</v>
      </c>
      <c r="H4" s="18" t="s">
        <v>852</v>
      </c>
      <c r="I4" s="18">
        <v>7.5</v>
      </c>
      <c r="J4" s="18" t="s">
        <v>853</v>
      </c>
      <c r="K4" s="18">
        <v>9</v>
      </c>
      <c r="L4" s="289"/>
      <c r="M4" s="18"/>
      <c r="N4" s="18" t="s">
        <v>17</v>
      </c>
      <c r="O4" s="18"/>
      <c r="P4" s="3">
        <f t="shared" ref="P4:P21" si="0">SUM(O4,M4,K4,I4,G4,E4,C4)</f>
        <v>41.25</v>
      </c>
    </row>
    <row r="5" spans="1:22">
      <c r="A5" s="45" t="s">
        <v>18</v>
      </c>
      <c r="B5" s="18" t="s">
        <v>15</v>
      </c>
      <c r="C5" s="18">
        <v>8</v>
      </c>
      <c r="D5" s="18" t="s">
        <v>854</v>
      </c>
      <c r="E5" s="18">
        <v>8</v>
      </c>
      <c r="F5" s="18" t="s">
        <v>16</v>
      </c>
      <c r="G5" s="18">
        <v>8</v>
      </c>
      <c r="H5" s="18" t="s">
        <v>16</v>
      </c>
      <c r="I5" s="18">
        <v>8</v>
      </c>
      <c r="J5" s="18" t="s">
        <v>15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100.5" customHeight="1">
      <c r="A6" s="163" t="s">
        <v>214</v>
      </c>
      <c r="B6" s="48" t="s">
        <v>855</v>
      </c>
      <c r="C6" s="48">
        <v>5.5</v>
      </c>
      <c r="D6" s="45" t="s">
        <v>856</v>
      </c>
      <c r="E6" s="48">
        <v>4</v>
      </c>
      <c r="F6" s="157" t="s">
        <v>857</v>
      </c>
      <c r="G6" s="48">
        <v>3</v>
      </c>
      <c r="H6" s="297" t="s">
        <v>858</v>
      </c>
      <c r="I6" s="48">
        <v>3</v>
      </c>
      <c r="J6" s="45" t="s">
        <v>859</v>
      </c>
      <c r="K6" s="48">
        <v>5</v>
      </c>
      <c r="L6" s="56" t="s">
        <v>860</v>
      </c>
      <c r="M6" s="48">
        <v>7</v>
      </c>
      <c r="N6" s="18" t="s">
        <v>17</v>
      </c>
      <c r="O6" s="18"/>
      <c r="P6" s="3">
        <f t="shared" si="0"/>
        <v>27.5</v>
      </c>
    </row>
    <row r="7" spans="1:22">
      <c r="A7" s="163" t="s">
        <v>694</v>
      </c>
      <c r="B7" s="48"/>
      <c r="C7" s="48"/>
      <c r="D7" s="48" t="s">
        <v>861</v>
      </c>
      <c r="E7" s="48">
        <v>7.5</v>
      </c>
      <c r="F7" s="155" t="s">
        <v>696</v>
      </c>
      <c r="G7" s="48">
        <v>4</v>
      </c>
      <c r="H7" s="297" t="s">
        <v>862</v>
      </c>
      <c r="I7" s="48">
        <v>7</v>
      </c>
      <c r="J7" s="48" t="s">
        <v>863</v>
      </c>
      <c r="K7" s="48">
        <v>7.5</v>
      </c>
      <c r="L7" s="38"/>
      <c r="M7" s="47"/>
      <c r="N7" s="18" t="s">
        <v>17</v>
      </c>
      <c r="O7" s="18"/>
      <c r="P7" s="3">
        <f t="shared" si="0"/>
        <v>26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698</v>
      </c>
      <c r="B8" s="45" t="s">
        <v>864</v>
      </c>
      <c r="C8" s="48">
        <v>9.5</v>
      </c>
      <c r="D8" s="297" t="s">
        <v>865</v>
      </c>
      <c r="E8" s="48">
        <v>5.5</v>
      </c>
      <c r="F8" s="45" t="s">
        <v>381</v>
      </c>
      <c r="G8" s="48">
        <v>8</v>
      </c>
      <c r="H8" s="38"/>
      <c r="I8" s="48"/>
      <c r="J8" s="135" t="s">
        <v>713</v>
      </c>
      <c r="K8" s="48">
        <v>5</v>
      </c>
      <c r="L8" s="45" t="s">
        <v>26</v>
      </c>
      <c r="M8" s="48"/>
      <c r="N8" s="18" t="s">
        <v>17</v>
      </c>
      <c r="O8" s="18"/>
      <c r="P8" s="3">
        <f t="shared" si="0"/>
        <v>28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5" t="s">
        <v>26</v>
      </c>
      <c r="C9" s="48"/>
      <c r="D9" s="48"/>
      <c r="E9" s="48"/>
      <c r="F9" s="38"/>
      <c r="G9" s="48"/>
      <c r="H9" s="48" t="s">
        <v>866</v>
      </c>
      <c r="I9" s="48">
        <v>4.5</v>
      </c>
      <c r="J9" s="198" t="s">
        <v>26</v>
      </c>
      <c r="K9" s="48"/>
      <c r="L9" s="135" t="s">
        <v>867</v>
      </c>
      <c r="M9" s="48">
        <v>5</v>
      </c>
      <c r="N9" s="18" t="s">
        <v>17</v>
      </c>
      <c r="O9" s="18"/>
      <c r="P9" s="3">
        <f t="shared" si="0"/>
        <v>9.5</v>
      </c>
      <c r="R9" s="121"/>
      <c r="S9" s="121"/>
      <c r="T9" s="260"/>
      <c r="U9" s="121" t="s">
        <v>45</v>
      </c>
    </row>
    <row r="10" spans="1:22" ht="43.15">
      <c r="A10" s="128" t="s">
        <v>704</v>
      </c>
      <c r="B10" s="48" t="s">
        <v>868</v>
      </c>
      <c r="C10" s="48">
        <v>5</v>
      </c>
      <c r="D10" s="45" t="s">
        <v>869</v>
      </c>
      <c r="E10" s="48">
        <v>5.5</v>
      </c>
      <c r="F10" s="45"/>
      <c r="G10" s="48"/>
      <c r="H10" s="48" t="s">
        <v>870</v>
      </c>
      <c r="I10" s="48">
        <v>6.5</v>
      </c>
      <c r="J10" s="38"/>
      <c r="K10" s="48"/>
      <c r="L10" s="48" t="s">
        <v>731</v>
      </c>
      <c r="M10" s="48">
        <v>5</v>
      </c>
      <c r="N10" s="18" t="s">
        <v>17</v>
      </c>
      <c r="O10" s="18"/>
      <c r="P10" s="3">
        <f t="shared" si="0"/>
        <v>22</v>
      </c>
      <c r="R10" s="121"/>
      <c r="S10" s="121"/>
      <c r="T10" s="121"/>
      <c r="U10" s="121" t="s">
        <v>50</v>
      </c>
    </row>
    <row r="11" spans="1:22" ht="28.9">
      <c r="A11" s="45" t="s">
        <v>708</v>
      </c>
      <c r="B11" s="48" t="s">
        <v>871</v>
      </c>
      <c r="C11" s="48">
        <v>5</v>
      </c>
      <c r="D11" s="48" t="s">
        <v>872</v>
      </c>
      <c r="E11" s="48">
        <v>3.5</v>
      </c>
      <c r="F11" s="45" t="s">
        <v>873</v>
      </c>
      <c r="G11" s="48">
        <v>5</v>
      </c>
      <c r="H11" s="48" t="s">
        <v>874</v>
      </c>
      <c r="I11" s="48">
        <v>7.5</v>
      </c>
      <c r="J11" s="38"/>
      <c r="K11" s="48"/>
      <c r="L11" s="38"/>
      <c r="M11" s="48"/>
      <c r="N11" s="18" t="s">
        <v>17</v>
      </c>
      <c r="O11" s="18"/>
      <c r="P11" s="3">
        <f t="shared" si="0"/>
        <v>21</v>
      </c>
      <c r="Q11" t="s">
        <v>875</v>
      </c>
      <c r="R11" s="121"/>
      <c r="S11" s="121"/>
      <c r="T11" s="121"/>
      <c r="U11" s="121" t="s">
        <v>601</v>
      </c>
    </row>
    <row r="12" spans="1:22" ht="28.9">
      <c r="A12" s="163" t="s">
        <v>710</v>
      </c>
      <c r="B12" s="56"/>
      <c r="C12" s="48"/>
      <c r="D12" s="82" t="s">
        <v>876</v>
      </c>
      <c r="E12" s="18">
        <v>8.5</v>
      </c>
      <c r="F12" s="90" t="s">
        <v>53</v>
      </c>
      <c r="G12" s="48">
        <v>4</v>
      </c>
      <c r="H12" s="56" t="s">
        <v>877</v>
      </c>
      <c r="I12" s="48">
        <v>5.5</v>
      </c>
      <c r="J12" s="157" t="s">
        <v>26</v>
      </c>
      <c r="K12" s="48"/>
      <c r="L12" s="56" t="s">
        <v>878</v>
      </c>
      <c r="M12" s="48">
        <v>9.5</v>
      </c>
      <c r="N12" s="18" t="s">
        <v>17</v>
      </c>
      <c r="O12" s="18"/>
      <c r="P12" s="3">
        <f t="shared" si="0"/>
        <v>27.5</v>
      </c>
      <c r="R12" s="121"/>
      <c r="S12" s="121"/>
      <c r="T12" s="121"/>
      <c r="U12" s="121" t="s">
        <v>58</v>
      </c>
    </row>
    <row r="13" spans="1:22" ht="28.9">
      <c r="A13" s="163" t="s">
        <v>712</v>
      </c>
      <c r="B13" s="56"/>
      <c r="C13" s="48"/>
      <c r="D13" s="56" t="s">
        <v>879</v>
      </c>
      <c r="E13" s="48">
        <v>5</v>
      </c>
      <c r="F13" s="56" t="s">
        <v>880</v>
      </c>
      <c r="G13" s="48">
        <v>5</v>
      </c>
      <c r="H13" s="60" t="s">
        <v>26</v>
      </c>
      <c r="I13" s="45"/>
      <c r="J13" s="60" t="s">
        <v>26</v>
      </c>
      <c r="K13" s="48"/>
      <c r="L13" s="60" t="s">
        <v>26</v>
      </c>
      <c r="M13" s="48"/>
      <c r="N13" s="18" t="s">
        <v>17</v>
      </c>
      <c r="O13" s="18"/>
      <c r="P13" s="3">
        <f t="shared" si="0"/>
        <v>10</v>
      </c>
      <c r="R13" s="121"/>
      <c r="S13" s="121"/>
      <c r="T13" s="121"/>
      <c r="U13" s="121"/>
    </row>
    <row r="14" spans="1:22" ht="63.75" customHeight="1">
      <c r="A14" s="60" t="s">
        <v>716</v>
      </c>
      <c r="B14" s="82" t="s">
        <v>876</v>
      </c>
      <c r="C14" s="18">
        <v>8.5</v>
      </c>
      <c r="D14" s="56" t="s">
        <v>881</v>
      </c>
      <c r="E14" s="48">
        <v>6.5</v>
      </c>
      <c r="F14" s="56"/>
      <c r="G14" s="48"/>
      <c r="H14" s="48" t="s">
        <v>157</v>
      </c>
      <c r="I14" s="48">
        <v>7.5</v>
      </c>
      <c r="J14" s="168" t="s">
        <v>882</v>
      </c>
      <c r="K14" s="48">
        <v>8.5</v>
      </c>
      <c r="L14" s="56"/>
      <c r="M14" s="48"/>
      <c r="N14" s="18" t="s">
        <v>17</v>
      </c>
      <c r="O14" s="18"/>
      <c r="P14" s="3">
        <f t="shared" si="0"/>
        <v>31</v>
      </c>
      <c r="R14" s="121"/>
      <c r="S14" s="121"/>
      <c r="T14" s="121"/>
      <c r="U14" s="121"/>
    </row>
    <row r="15" spans="1:22" ht="43.15">
      <c r="A15" s="163" t="s">
        <v>719</v>
      </c>
      <c r="B15" s="45" t="s">
        <v>883</v>
      </c>
      <c r="C15" s="48">
        <v>6.5</v>
      </c>
      <c r="D15" s="45"/>
      <c r="E15" s="48"/>
      <c r="F15" s="45" t="s">
        <v>884</v>
      </c>
      <c r="G15" s="48">
        <v>4.5</v>
      </c>
      <c r="H15" s="45"/>
      <c r="I15" s="48"/>
      <c r="J15" s="45" t="s">
        <v>885</v>
      </c>
      <c r="K15" s="48">
        <v>5</v>
      </c>
      <c r="L15" s="56" t="s">
        <v>886</v>
      </c>
      <c r="M15" s="48">
        <v>8.5</v>
      </c>
      <c r="N15" s="18" t="s">
        <v>17</v>
      </c>
      <c r="O15" s="18"/>
      <c r="P15" s="3">
        <f t="shared" si="0"/>
        <v>24.5</v>
      </c>
      <c r="R15" s="121"/>
      <c r="S15" s="121"/>
      <c r="T15" s="121"/>
      <c r="U15" s="121"/>
    </row>
    <row r="16" spans="1:22" ht="18">
      <c r="A16" s="163" t="s">
        <v>725</v>
      </c>
      <c r="B16" s="56" t="s">
        <v>881</v>
      </c>
      <c r="C16" s="48">
        <v>6.5</v>
      </c>
      <c r="D16" s="283"/>
      <c r="E16" s="48"/>
      <c r="F16" s="56" t="s">
        <v>887</v>
      </c>
      <c r="G16" s="48">
        <v>5</v>
      </c>
      <c r="H16" s="56" t="s">
        <v>881</v>
      </c>
      <c r="I16" s="48">
        <v>6.5</v>
      </c>
      <c r="J16" s="56" t="s">
        <v>888</v>
      </c>
      <c r="K16" s="48">
        <v>6.5</v>
      </c>
      <c r="L16" s="273"/>
      <c r="M16" s="48"/>
      <c r="N16" s="18" t="s">
        <v>17</v>
      </c>
      <c r="O16" s="18"/>
      <c r="P16" s="3">
        <f t="shared" si="0"/>
        <v>24.5</v>
      </c>
      <c r="R16" s="299" t="s">
        <v>74</v>
      </c>
      <c r="S16" s="299"/>
      <c r="T16" s="299" t="s">
        <v>75</v>
      </c>
      <c r="U16" s="299"/>
      <c r="V16" s="300"/>
    </row>
    <row r="17" spans="1:21" ht="43.15">
      <c r="A17" s="45" t="s">
        <v>730</v>
      </c>
      <c r="B17" s="45" t="s">
        <v>889</v>
      </c>
      <c r="C17" s="48">
        <v>7</v>
      </c>
      <c r="D17" s="45" t="s">
        <v>890</v>
      </c>
      <c r="E17" s="48">
        <v>5</v>
      </c>
      <c r="F17" s="45" t="s">
        <v>890</v>
      </c>
      <c r="G17" s="48">
        <v>5</v>
      </c>
      <c r="H17" s="45" t="s">
        <v>891</v>
      </c>
      <c r="I17" s="48">
        <v>3</v>
      </c>
      <c r="J17" s="45" t="s">
        <v>890</v>
      </c>
      <c r="K17" s="18">
        <v>5</v>
      </c>
      <c r="L17" s="45" t="s">
        <v>26</v>
      </c>
      <c r="M17" s="48"/>
      <c r="N17" s="18" t="s">
        <v>17</v>
      </c>
      <c r="O17" s="18"/>
      <c r="P17" s="3">
        <f t="shared" si="0"/>
        <v>25</v>
      </c>
      <c r="R17" s="121"/>
      <c r="S17" s="121"/>
      <c r="T17" s="121"/>
      <c r="U17" s="121"/>
    </row>
    <row r="18" spans="1:21" ht="28.9">
      <c r="A18" s="45" t="s">
        <v>734</v>
      </c>
      <c r="B18" s="69"/>
      <c r="C18" s="48"/>
      <c r="D18" s="45"/>
      <c r="E18" s="48"/>
      <c r="F18" s="45" t="s">
        <v>892</v>
      </c>
      <c r="G18" s="48">
        <v>3.5</v>
      </c>
      <c r="H18" s="69"/>
      <c r="I18" s="48"/>
      <c r="J18" s="82" t="s">
        <v>893</v>
      </c>
      <c r="K18" s="18">
        <v>6</v>
      </c>
      <c r="L18" s="45"/>
      <c r="M18" s="48"/>
      <c r="N18" s="18" t="s">
        <v>17</v>
      </c>
      <c r="O18" s="18"/>
      <c r="P18" s="3">
        <f t="shared" si="0"/>
        <v>9.5</v>
      </c>
      <c r="R18" s="121"/>
      <c r="S18" s="121"/>
      <c r="T18" s="121"/>
      <c r="U18" s="121"/>
    </row>
    <row r="19" spans="1:21" ht="28.9">
      <c r="A19" s="45" t="s">
        <v>894</v>
      </c>
      <c r="B19" s="69"/>
      <c r="C19" s="18"/>
      <c r="D19" s="82"/>
      <c r="E19" s="18"/>
      <c r="F19" s="149"/>
      <c r="G19" s="18"/>
      <c r="H19" s="307" t="s">
        <v>895</v>
      </c>
      <c r="I19" s="18">
        <v>3.5</v>
      </c>
      <c r="J19" s="306" t="s">
        <v>896</v>
      </c>
      <c r="K19" s="18">
        <v>5</v>
      </c>
      <c r="L19" s="85" t="s">
        <v>897</v>
      </c>
      <c r="M19" s="18">
        <v>6.5</v>
      </c>
      <c r="N19" s="18"/>
      <c r="O19" s="18"/>
      <c r="P19" s="3">
        <f t="shared" si="0"/>
        <v>15</v>
      </c>
      <c r="R19" s="121"/>
      <c r="S19" s="121"/>
      <c r="T19" s="121"/>
      <c r="U19" s="121"/>
    </row>
    <row r="20" spans="1:21" ht="28.9">
      <c r="A20" s="45" t="s">
        <v>898</v>
      </c>
      <c r="B20" s="82" t="s">
        <v>899</v>
      </c>
      <c r="C20" s="18">
        <v>5</v>
      </c>
      <c r="D20" s="305" t="s">
        <v>900</v>
      </c>
      <c r="E20" s="18">
        <v>4</v>
      </c>
      <c r="F20" s="302"/>
      <c r="G20" s="18"/>
      <c r="H20" s="304" t="s">
        <v>901</v>
      </c>
      <c r="I20" s="18">
        <v>6</v>
      </c>
      <c r="J20" s="273"/>
      <c r="K20" s="18"/>
      <c r="L20" s="273"/>
      <c r="M20" s="18"/>
      <c r="N20" s="18"/>
      <c r="O20" s="18"/>
      <c r="P20" s="3">
        <f t="shared" si="0"/>
        <v>15</v>
      </c>
    </row>
    <row r="21" spans="1:21">
      <c r="A21" s="52" t="s">
        <v>95</v>
      </c>
      <c r="B21" s="3"/>
      <c r="C21" s="3">
        <f>SUM(C7:C14)</f>
        <v>28</v>
      </c>
      <c r="D21" s="3"/>
      <c r="E21" s="3">
        <f>SUM(E6:E20)</f>
        <v>55</v>
      </c>
      <c r="F21" s="3"/>
      <c r="G21" s="3">
        <f>SUM(G6:G20)</f>
        <v>47</v>
      </c>
      <c r="H21" s="3"/>
      <c r="I21" s="3">
        <f>SUM(I6:I20)</f>
        <v>60.5</v>
      </c>
      <c r="J21" s="3"/>
      <c r="K21" s="3">
        <f>SUM(K6:K20)</f>
        <v>53.5</v>
      </c>
      <c r="L21" s="3"/>
      <c r="M21" s="3">
        <f>SUM(M6:M20)</f>
        <v>41.5</v>
      </c>
      <c r="N21" s="3"/>
      <c r="O21" s="3">
        <f>SUM(O6:O20)</f>
        <v>0</v>
      </c>
      <c r="P21" s="3">
        <f t="shared" si="0"/>
        <v>285.5</v>
      </c>
    </row>
    <row r="22" spans="1:21">
      <c r="C22">
        <f>C21*20</f>
        <v>560</v>
      </c>
      <c r="G22">
        <f>G21*20</f>
        <v>940</v>
      </c>
      <c r="I22">
        <f>I21*20</f>
        <v>1210</v>
      </c>
      <c r="K22">
        <f>K21*20</f>
        <v>1070</v>
      </c>
      <c r="M22">
        <f>M21*20</f>
        <v>830</v>
      </c>
    </row>
    <row r="24" spans="1:21" ht="15" thickBot="1">
      <c r="A24" s="264" t="s">
        <v>96</v>
      </c>
      <c r="B24" s="264"/>
      <c r="C24" s="117"/>
      <c r="D24" s="121"/>
    </row>
    <row r="25" spans="1:21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1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21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  <c r="Q27">
        <f>P21*20</f>
        <v>5710</v>
      </c>
    </row>
    <row r="28" spans="1:21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1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1" ht="3.75" customHeight="1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1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  <c r="T31" t="s">
        <v>110</v>
      </c>
    </row>
    <row r="32" spans="1:21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1CE4-CD5C-439A-8997-16FF86928157}">
  <sheetPr>
    <tabColor theme="9"/>
  </sheetPr>
  <dimension ref="A1:V33"/>
  <sheetViews>
    <sheetView topLeftCell="A6" zoomScale="70" zoomScaleNormal="70" workbookViewId="0">
      <selection activeCell="Q28" sqref="Q28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6.710937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46090</v>
      </c>
      <c r="C2" s="6"/>
      <c r="D2" s="5">
        <v>46091</v>
      </c>
      <c r="E2" s="6"/>
      <c r="F2" s="5">
        <v>46092</v>
      </c>
      <c r="G2" s="6"/>
      <c r="H2" s="5">
        <v>46093</v>
      </c>
      <c r="I2" s="6"/>
      <c r="J2" s="5">
        <v>46094</v>
      </c>
      <c r="K2" s="6"/>
      <c r="L2" s="5">
        <v>46095</v>
      </c>
      <c r="M2" s="6"/>
      <c r="N2" s="5">
        <v>46096</v>
      </c>
      <c r="O2" s="7"/>
      <c r="P2" s="3"/>
    </row>
    <row r="3" spans="1:22" ht="72">
      <c r="A3" s="8" t="s">
        <v>9</v>
      </c>
      <c r="B3" s="9"/>
      <c r="C3" s="10"/>
      <c r="D3" s="62" t="s">
        <v>902</v>
      </c>
      <c r="E3" s="10"/>
      <c r="F3" s="62" t="s">
        <v>903</v>
      </c>
      <c r="G3" s="11"/>
      <c r="H3" s="288" t="s">
        <v>904</v>
      </c>
      <c r="I3" s="10"/>
      <c r="J3" s="285" t="s">
        <v>905</v>
      </c>
      <c r="K3" s="10"/>
      <c r="L3" s="9" t="s">
        <v>906</v>
      </c>
      <c r="M3" s="13"/>
      <c r="N3" s="9"/>
      <c r="O3" s="15"/>
      <c r="P3" s="3"/>
    </row>
    <row r="4" spans="1:22" ht="24.6">
      <c r="A4" s="82" t="s">
        <v>14</v>
      </c>
      <c r="B4" s="294" t="s">
        <v>907</v>
      </c>
      <c r="C4" s="18">
        <v>8.5</v>
      </c>
      <c r="D4" s="18" t="s">
        <v>908</v>
      </c>
      <c r="E4" s="18">
        <v>7.5</v>
      </c>
      <c r="F4" s="18" t="s">
        <v>576</v>
      </c>
      <c r="G4" s="18">
        <v>5.5</v>
      </c>
      <c r="H4" s="18" t="s">
        <v>124</v>
      </c>
      <c r="I4" s="18">
        <v>9.5</v>
      </c>
      <c r="J4" s="18" t="s">
        <v>909</v>
      </c>
      <c r="K4" s="18">
        <v>4</v>
      </c>
      <c r="L4" s="289" t="s">
        <v>910</v>
      </c>
      <c r="M4" s="18">
        <v>5</v>
      </c>
      <c r="N4" s="18" t="s">
        <v>17</v>
      </c>
      <c r="O4" s="18"/>
      <c r="P4" s="3">
        <f t="shared" ref="P4:P20" si="0">SUM(O4,M4,K4,I4,G4,E4,C4)</f>
        <v>40</v>
      </c>
    </row>
    <row r="5" spans="1:22">
      <c r="A5" s="45" t="s">
        <v>18</v>
      </c>
      <c r="B5" s="18" t="s">
        <v>15</v>
      </c>
      <c r="C5" s="18">
        <v>8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16</v>
      </c>
      <c r="I5" s="18">
        <v>8</v>
      </c>
      <c r="J5" s="18" t="s">
        <v>580</v>
      </c>
      <c r="K5" s="18">
        <v>8</v>
      </c>
      <c r="L5" s="289"/>
      <c r="M5" s="18"/>
      <c r="N5" s="18" t="s">
        <v>17</v>
      </c>
      <c r="O5" s="18"/>
      <c r="P5" s="3">
        <f t="shared" si="0"/>
        <v>40</v>
      </c>
    </row>
    <row r="6" spans="1:22" ht="51.75" customHeight="1">
      <c r="A6" s="163" t="s">
        <v>214</v>
      </c>
      <c r="B6" s="45" t="s">
        <v>911</v>
      </c>
      <c r="C6" s="48">
        <v>7.5</v>
      </c>
      <c r="D6" s="45" t="s">
        <v>912</v>
      </c>
      <c r="E6" s="48">
        <v>7.5</v>
      </c>
      <c r="F6" s="157" t="s">
        <v>913</v>
      </c>
      <c r="G6" s="48">
        <v>4</v>
      </c>
      <c r="H6" s="297" t="s">
        <v>914</v>
      </c>
      <c r="I6" s="48">
        <v>6</v>
      </c>
      <c r="J6" s="45" t="s">
        <v>915</v>
      </c>
      <c r="K6" s="48">
        <v>4</v>
      </c>
      <c r="L6" s="56"/>
      <c r="M6" s="48"/>
      <c r="N6" s="18" t="s">
        <v>17</v>
      </c>
      <c r="O6" s="18"/>
      <c r="P6" s="3">
        <f>SUM(O6,M6,K6,I6,G6,E6,C6)</f>
        <v>29</v>
      </c>
    </row>
    <row r="7" spans="1:22" ht="28.9">
      <c r="A7" s="163" t="s">
        <v>694</v>
      </c>
      <c r="B7" s="48"/>
      <c r="C7" s="48"/>
      <c r="D7" s="48" t="s">
        <v>916</v>
      </c>
      <c r="E7" s="48">
        <v>7.75</v>
      </c>
      <c r="F7" s="155" t="s">
        <v>917</v>
      </c>
      <c r="G7" s="48">
        <v>4.25</v>
      </c>
      <c r="H7" s="297" t="s">
        <v>918</v>
      </c>
      <c r="I7" s="48">
        <v>7</v>
      </c>
      <c r="J7" s="48" t="s">
        <v>768</v>
      </c>
      <c r="K7" s="48">
        <v>5</v>
      </c>
      <c r="L7" s="38"/>
      <c r="M7" s="47"/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2">
      <c r="A8" s="128" t="s">
        <v>698</v>
      </c>
      <c r="B8" s="45" t="s">
        <v>526</v>
      </c>
      <c r="C8" s="48">
        <v>6.5</v>
      </c>
      <c r="D8" s="302" t="s">
        <v>526</v>
      </c>
      <c r="E8" s="48">
        <v>6.5</v>
      </c>
      <c r="F8" s="45" t="s">
        <v>54</v>
      </c>
      <c r="G8" s="48">
        <v>7.5</v>
      </c>
      <c r="H8" s="38"/>
      <c r="I8" s="48"/>
      <c r="J8" s="45" t="s">
        <v>919</v>
      </c>
      <c r="K8" s="48">
        <v>5</v>
      </c>
      <c r="L8" s="45"/>
      <c r="M8" s="48"/>
      <c r="N8" s="18" t="s">
        <v>17</v>
      </c>
      <c r="O8" s="18"/>
      <c r="P8" s="3">
        <f t="shared" si="0"/>
        <v>25.5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8" t="s">
        <v>920</v>
      </c>
      <c r="C9" s="48">
        <v>4</v>
      </c>
      <c r="D9" s="48" t="s">
        <v>921</v>
      </c>
      <c r="E9" s="48">
        <v>5</v>
      </c>
      <c r="F9" s="38"/>
      <c r="G9" s="48"/>
      <c r="H9" s="48" t="s">
        <v>922</v>
      </c>
      <c r="I9" s="48">
        <v>5</v>
      </c>
      <c r="J9" s="48" t="s">
        <v>923</v>
      </c>
      <c r="K9" s="48">
        <v>5</v>
      </c>
      <c r="L9" s="135" t="s">
        <v>713</v>
      </c>
      <c r="M9" s="48">
        <v>5</v>
      </c>
      <c r="N9" s="18" t="s">
        <v>17</v>
      </c>
      <c r="O9" s="18"/>
      <c r="P9" s="3">
        <f t="shared" si="0"/>
        <v>24</v>
      </c>
      <c r="R9" s="121"/>
      <c r="S9" s="121"/>
      <c r="T9" s="260"/>
      <c r="U9" s="121" t="s">
        <v>45</v>
      </c>
    </row>
    <row r="10" spans="1:22">
      <c r="A10" s="128" t="s">
        <v>704</v>
      </c>
      <c r="B10" s="48" t="s">
        <v>695</v>
      </c>
      <c r="C10" s="48">
        <v>7.5</v>
      </c>
      <c r="D10" s="45"/>
      <c r="E10" s="48"/>
      <c r="F10" s="45" t="s">
        <v>924</v>
      </c>
      <c r="G10" s="48">
        <v>3</v>
      </c>
      <c r="H10" s="45" t="s">
        <v>925</v>
      </c>
      <c r="I10" s="48">
        <v>8</v>
      </c>
      <c r="J10" s="38"/>
      <c r="K10" s="48"/>
      <c r="L10" s="45" t="s">
        <v>926</v>
      </c>
      <c r="M10" s="48">
        <v>9.5</v>
      </c>
      <c r="N10" s="18" t="s">
        <v>17</v>
      </c>
      <c r="O10" s="18"/>
      <c r="P10" s="3">
        <f>SUM(O10,M10,K10,I10,G10,E10,C10)</f>
        <v>28</v>
      </c>
      <c r="R10" s="121"/>
      <c r="S10" s="121"/>
      <c r="T10" s="121"/>
      <c r="U10" s="121" t="s">
        <v>50</v>
      </c>
    </row>
    <row r="11" spans="1:22">
      <c r="A11" s="45" t="s">
        <v>708</v>
      </c>
      <c r="B11" s="56" t="s">
        <v>927</v>
      </c>
      <c r="C11" s="48">
        <v>5</v>
      </c>
      <c r="D11" s="213" t="s">
        <v>928</v>
      </c>
      <c r="E11" s="48">
        <v>4</v>
      </c>
      <c r="F11" s="56" t="s">
        <v>927</v>
      </c>
      <c r="G11" s="48">
        <v>5</v>
      </c>
      <c r="H11" s="48" t="s">
        <v>26</v>
      </c>
      <c r="I11" s="48"/>
      <c r="J11" s="38"/>
      <c r="K11" s="48"/>
      <c r="L11" s="38"/>
      <c r="M11" s="48"/>
      <c r="N11" s="18" t="s">
        <v>17</v>
      </c>
      <c r="O11" s="18"/>
      <c r="P11" s="3">
        <f>SUM(O11,M11,K11,I11,G11,E11,C11)</f>
        <v>14</v>
      </c>
      <c r="R11" s="121"/>
      <c r="S11" s="121"/>
      <c r="T11" s="121"/>
      <c r="U11" s="121" t="s">
        <v>601</v>
      </c>
    </row>
    <row r="12" spans="1:22">
      <c r="A12" s="163" t="s">
        <v>710</v>
      </c>
      <c r="B12" s="56" t="s">
        <v>929</v>
      </c>
      <c r="C12" s="48">
        <v>7.5</v>
      </c>
      <c r="D12" s="56" t="s">
        <v>779</v>
      </c>
      <c r="E12" s="48">
        <v>7.5</v>
      </c>
      <c r="F12" s="90" t="s">
        <v>364</v>
      </c>
      <c r="G12" s="48">
        <v>4</v>
      </c>
      <c r="H12" s="48" t="s">
        <v>70</v>
      </c>
      <c r="I12" s="48">
        <v>4</v>
      </c>
      <c r="J12" s="135" t="s">
        <v>930</v>
      </c>
      <c r="K12" s="48">
        <v>5</v>
      </c>
      <c r="L12" s="60" t="s">
        <v>26</v>
      </c>
      <c r="M12" s="48"/>
      <c r="N12" s="18" t="s">
        <v>17</v>
      </c>
      <c r="O12" s="18"/>
      <c r="P12" s="3">
        <f t="shared" ref="P12:P13" si="1">SUM(O12,M12,K12,I12,G12,E12,C12)</f>
        <v>28</v>
      </c>
      <c r="R12" s="121"/>
      <c r="S12" s="121"/>
      <c r="T12" s="121"/>
      <c r="U12" s="121" t="s">
        <v>58</v>
      </c>
    </row>
    <row r="13" spans="1:22" ht="28.9">
      <c r="A13" s="163" t="s">
        <v>712</v>
      </c>
      <c r="B13" s="48" t="s">
        <v>931</v>
      </c>
      <c r="C13" s="48">
        <v>5</v>
      </c>
      <c r="D13" s="48" t="s">
        <v>931</v>
      </c>
      <c r="E13" s="48">
        <v>5</v>
      </c>
      <c r="F13" s="48" t="s">
        <v>930</v>
      </c>
      <c r="G13" s="48">
        <v>5</v>
      </c>
      <c r="H13" s="48" t="s">
        <v>932</v>
      </c>
      <c r="I13" s="48">
        <v>5</v>
      </c>
      <c r="J13" s="48"/>
      <c r="K13" s="48"/>
      <c r="L13" s="97" t="s">
        <v>373</v>
      </c>
      <c r="M13" s="48">
        <v>7.5</v>
      </c>
      <c r="N13" s="18" t="s">
        <v>17</v>
      </c>
      <c r="O13" s="18"/>
      <c r="P13" s="3">
        <f t="shared" si="1"/>
        <v>27.5</v>
      </c>
      <c r="R13" s="121"/>
      <c r="S13" s="121"/>
      <c r="T13" s="121"/>
      <c r="U13" s="121"/>
    </row>
    <row r="14" spans="1:22">
      <c r="A14" s="60" t="s">
        <v>716</v>
      </c>
      <c r="B14" s="82"/>
      <c r="C14" s="18"/>
      <c r="D14" s="56" t="s">
        <v>929</v>
      </c>
      <c r="E14" s="48">
        <v>7.5</v>
      </c>
      <c r="F14" s="240" t="s">
        <v>933</v>
      </c>
      <c r="G14" s="48">
        <v>3.5</v>
      </c>
      <c r="H14" s="56" t="s">
        <v>929</v>
      </c>
      <c r="I14" s="48">
        <v>7.5</v>
      </c>
      <c r="J14" s="56" t="s">
        <v>929</v>
      </c>
      <c r="K14" s="48">
        <v>7.5</v>
      </c>
      <c r="L14" s="56" t="s">
        <v>779</v>
      </c>
      <c r="M14" s="48">
        <v>7.5</v>
      </c>
      <c r="N14" s="18" t="s">
        <v>17</v>
      </c>
      <c r="O14" s="18"/>
      <c r="P14" s="3">
        <f t="shared" si="0"/>
        <v>33.5</v>
      </c>
      <c r="R14" s="121"/>
      <c r="S14" s="121"/>
      <c r="T14" s="121"/>
      <c r="U14" s="121"/>
    </row>
    <row r="15" spans="1:22">
      <c r="A15" s="163" t="s">
        <v>719</v>
      </c>
      <c r="B15" s="45" t="s">
        <v>883</v>
      </c>
      <c r="C15" s="48">
        <v>6.5</v>
      </c>
      <c r="D15" s="45" t="s">
        <v>934</v>
      </c>
      <c r="E15" s="48">
        <v>5</v>
      </c>
      <c r="F15" s="45" t="s">
        <v>883</v>
      </c>
      <c r="G15" s="48">
        <v>6.5</v>
      </c>
      <c r="H15" s="76"/>
      <c r="I15" s="48"/>
      <c r="J15" s="45" t="s">
        <v>720</v>
      </c>
      <c r="K15" s="48">
        <v>7.5</v>
      </c>
      <c r="L15" s="48"/>
      <c r="M15" s="48"/>
      <c r="N15" s="18" t="s">
        <v>17</v>
      </c>
      <c r="O15" s="18"/>
      <c r="P15" s="3">
        <f t="shared" si="0"/>
        <v>25.5</v>
      </c>
      <c r="R15" s="121"/>
      <c r="S15" s="121"/>
      <c r="T15" s="121"/>
      <c r="U15" s="121"/>
    </row>
    <row r="16" spans="1:22" ht="29.45">
      <c r="A16" s="163" t="s">
        <v>725</v>
      </c>
      <c r="B16" s="56" t="s">
        <v>28</v>
      </c>
      <c r="C16" s="48">
        <v>6.5</v>
      </c>
      <c r="D16" s="283"/>
      <c r="E16" s="48"/>
      <c r="F16" s="56" t="s">
        <v>935</v>
      </c>
      <c r="G16" s="48">
        <v>7.5</v>
      </c>
      <c r="H16" s="56" t="s">
        <v>935</v>
      </c>
      <c r="I16" s="48">
        <v>7.5</v>
      </c>
      <c r="J16" s="56" t="s">
        <v>936</v>
      </c>
      <c r="K16" s="48">
        <v>8.5</v>
      </c>
      <c r="L16" s="273"/>
      <c r="M16" s="48"/>
      <c r="N16" s="18" t="s">
        <v>17</v>
      </c>
      <c r="O16" s="18"/>
      <c r="P16" s="3">
        <f t="shared" si="0"/>
        <v>30</v>
      </c>
      <c r="R16" s="299" t="s">
        <v>74</v>
      </c>
      <c r="S16" s="299"/>
      <c r="T16" s="299" t="s">
        <v>75</v>
      </c>
      <c r="U16" s="299"/>
      <c r="V16" s="300"/>
    </row>
    <row r="17" spans="1:21" ht="62.45" customHeight="1">
      <c r="A17" s="45" t="s">
        <v>730</v>
      </c>
      <c r="B17" s="45" t="s">
        <v>937</v>
      </c>
      <c r="C17" s="48">
        <v>5</v>
      </c>
      <c r="D17" s="45" t="s">
        <v>937</v>
      </c>
      <c r="E17" s="48">
        <v>5</v>
      </c>
      <c r="F17" s="45" t="s">
        <v>937</v>
      </c>
      <c r="G17" s="48">
        <v>5</v>
      </c>
      <c r="H17" s="45"/>
      <c r="I17" s="48"/>
      <c r="J17" s="45" t="s">
        <v>937</v>
      </c>
      <c r="K17" s="48">
        <v>5</v>
      </c>
      <c r="L17" s="45" t="s">
        <v>731</v>
      </c>
      <c r="M17" s="48">
        <v>5</v>
      </c>
      <c r="N17" s="18" t="s">
        <v>17</v>
      </c>
      <c r="O17" s="18"/>
      <c r="P17" s="3">
        <f t="shared" si="0"/>
        <v>25</v>
      </c>
      <c r="R17" s="121"/>
      <c r="S17" s="121"/>
      <c r="T17" s="121"/>
      <c r="U17" s="121"/>
    </row>
    <row r="18" spans="1:21" ht="86.45">
      <c r="A18" s="45" t="s">
        <v>734</v>
      </c>
      <c r="B18" s="69"/>
      <c r="C18" s="48"/>
      <c r="D18" s="45"/>
      <c r="E18" s="48"/>
      <c r="F18" s="45" t="s">
        <v>938</v>
      </c>
      <c r="G18" s="48">
        <v>3.5</v>
      </c>
      <c r="H18" s="69"/>
      <c r="I18" s="48"/>
      <c r="J18" s="82" t="s">
        <v>939</v>
      </c>
      <c r="K18" s="18">
        <v>3.5</v>
      </c>
      <c r="L18" s="45" t="s">
        <v>940</v>
      </c>
      <c r="M18" s="48">
        <v>7.5</v>
      </c>
      <c r="N18" s="18" t="s">
        <v>17</v>
      </c>
      <c r="O18" s="18"/>
      <c r="P18" s="3">
        <f t="shared" si="0"/>
        <v>14.5</v>
      </c>
      <c r="R18" s="121"/>
      <c r="S18" s="121"/>
      <c r="T18" s="121"/>
      <c r="U18" s="121"/>
    </row>
    <row r="19" spans="1:21" ht="28.9">
      <c r="A19" s="45" t="s">
        <v>941</v>
      </c>
      <c r="B19" s="69"/>
      <c r="C19" s="18"/>
      <c r="D19" s="82" t="s">
        <v>942</v>
      </c>
      <c r="E19" s="18">
        <v>8.5</v>
      </c>
      <c r="F19" s="302"/>
      <c r="G19" s="18"/>
      <c r="H19" s="303"/>
      <c r="I19" s="18"/>
      <c r="J19" s="304" t="s">
        <v>943</v>
      </c>
      <c r="K19" s="18">
        <v>6.5</v>
      </c>
      <c r="L19" s="303"/>
      <c r="M19" s="18"/>
      <c r="N19" s="18" t="s">
        <v>17</v>
      </c>
      <c r="O19" s="18"/>
      <c r="P19" s="3">
        <f t="shared" si="0"/>
        <v>15</v>
      </c>
      <c r="R19" s="121"/>
      <c r="S19" s="121"/>
      <c r="T19" s="121"/>
      <c r="U19" s="121"/>
    </row>
    <row r="20" spans="1:21" ht="43.15">
      <c r="A20" s="45" t="s">
        <v>898</v>
      </c>
      <c r="B20" s="82" t="s">
        <v>944</v>
      </c>
      <c r="C20" s="18">
        <v>7.5</v>
      </c>
      <c r="D20" s="305"/>
      <c r="E20" s="18"/>
      <c r="F20" s="304" t="s">
        <v>945</v>
      </c>
      <c r="G20" s="18">
        <v>7.5</v>
      </c>
      <c r="H20" s="302"/>
      <c r="I20" s="18"/>
      <c r="J20" s="273"/>
      <c r="K20" s="18"/>
      <c r="L20" s="273"/>
      <c r="M20" s="18"/>
      <c r="N20" s="18" t="s">
        <v>17</v>
      </c>
      <c r="O20" s="18"/>
      <c r="P20" s="3">
        <f t="shared" si="0"/>
        <v>15</v>
      </c>
    </row>
    <row r="21" spans="1:21">
      <c r="A21" s="52" t="s">
        <v>95</v>
      </c>
      <c r="B21" s="3"/>
      <c r="C21" s="3">
        <f>SUM(C7:C14)</f>
        <v>35.5</v>
      </c>
      <c r="D21" s="3"/>
      <c r="E21" s="3">
        <f>SUM(E6:E20)</f>
        <v>69.25</v>
      </c>
      <c r="F21" s="3"/>
      <c r="G21" s="3">
        <f>SUM(G6:G20)</f>
        <v>66.25</v>
      </c>
      <c r="H21" s="3"/>
      <c r="I21" s="3">
        <f>SUM(I6:I20)</f>
        <v>50</v>
      </c>
      <c r="J21" s="3"/>
      <c r="K21" s="3">
        <f>SUM(K6:K20)</f>
        <v>62.5</v>
      </c>
      <c r="L21" s="3"/>
      <c r="M21" s="3">
        <f>SUM(M6:M20)</f>
        <v>42</v>
      </c>
      <c r="N21" s="3"/>
      <c r="O21" s="3">
        <f>SUM(O6:O20)</f>
        <v>0</v>
      </c>
      <c r="P21" s="3">
        <f>SUM(O21,M21,K21,I21,G21,E21,C21)</f>
        <v>325.5</v>
      </c>
    </row>
    <row r="22" spans="1:21">
      <c r="C22">
        <f>C21*20</f>
        <v>710</v>
      </c>
      <c r="G22">
        <f>G21*20</f>
        <v>1325</v>
      </c>
      <c r="I22">
        <f>I21*20</f>
        <v>1000</v>
      </c>
      <c r="K22">
        <f>K21*20</f>
        <v>1250</v>
      </c>
      <c r="M22">
        <f>M21*20</f>
        <v>840</v>
      </c>
    </row>
    <row r="24" spans="1:21" ht="15" thickBot="1">
      <c r="A24" s="264" t="s">
        <v>96</v>
      </c>
      <c r="B24" s="264"/>
      <c r="C24" s="117"/>
      <c r="D24" s="121"/>
    </row>
    <row r="25" spans="1:21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1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21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  <c r="Q27">
        <f>P21*20</f>
        <v>6510</v>
      </c>
    </row>
    <row r="28" spans="1:21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1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1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1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  <c r="T31" t="s">
        <v>110</v>
      </c>
    </row>
    <row r="32" spans="1:21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64B6-A278-4B69-9D76-5E1995D0C3B9}">
  <sheetPr>
    <tabColor theme="9"/>
  </sheetPr>
  <dimension ref="A1:V33"/>
  <sheetViews>
    <sheetView zoomScale="70" zoomScaleNormal="70" workbookViewId="0">
      <selection activeCell="P22" sqref="P22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6.710937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2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2">
      <c r="A2" s="4"/>
      <c r="B2" s="5">
        <v>46083</v>
      </c>
      <c r="C2" s="6"/>
      <c r="D2" s="5">
        <v>46084</v>
      </c>
      <c r="E2" s="6"/>
      <c r="F2" s="5">
        <v>46085</v>
      </c>
      <c r="G2" s="6"/>
      <c r="H2" s="5">
        <v>46086</v>
      </c>
      <c r="I2" s="6"/>
      <c r="J2" s="5">
        <v>46087</v>
      </c>
      <c r="K2" s="6"/>
      <c r="L2" s="5">
        <v>46088</v>
      </c>
      <c r="M2" s="6"/>
      <c r="N2" s="5">
        <v>46089</v>
      </c>
      <c r="O2" s="7"/>
      <c r="P2" s="3"/>
    </row>
    <row r="3" spans="1:22" ht="63" customHeight="1">
      <c r="A3" s="8" t="s">
        <v>9</v>
      </c>
      <c r="B3" s="9" t="s">
        <v>946</v>
      </c>
      <c r="C3" s="10"/>
      <c r="D3" s="9" t="s">
        <v>947</v>
      </c>
      <c r="E3" s="10"/>
      <c r="F3" s="9" t="s">
        <v>948</v>
      </c>
      <c r="G3" s="11"/>
      <c r="H3" s="288"/>
      <c r="I3" s="10"/>
      <c r="J3" s="285" t="s">
        <v>949</v>
      </c>
      <c r="K3" s="10"/>
      <c r="L3" s="9"/>
      <c r="M3" s="13"/>
      <c r="N3" s="9"/>
      <c r="O3" s="15"/>
      <c r="P3" s="3"/>
    </row>
    <row r="4" spans="1:22">
      <c r="A4" s="82" t="s">
        <v>14</v>
      </c>
      <c r="B4" s="294" t="s">
        <v>950</v>
      </c>
      <c r="C4" s="18">
        <v>8</v>
      </c>
      <c r="D4" s="18" t="s">
        <v>15</v>
      </c>
      <c r="E4" s="18">
        <v>8</v>
      </c>
      <c r="F4" s="18" t="s">
        <v>951</v>
      </c>
      <c r="G4" s="18">
        <v>8.5</v>
      </c>
      <c r="H4" s="18" t="s">
        <v>907</v>
      </c>
      <c r="I4" s="18">
        <v>8.5</v>
      </c>
      <c r="J4" s="18" t="s">
        <v>16</v>
      </c>
      <c r="K4" s="18">
        <v>8</v>
      </c>
      <c r="L4" s="289"/>
      <c r="M4" s="18"/>
      <c r="N4" s="18" t="s">
        <v>952</v>
      </c>
      <c r="O4" s="18"/>
      <c r="P4" s="3">
        <f t="shared" ref="P4:P20" si="0">SUM(O4,M4,K4,I4,G4,E4,C4)</f>
        <v>41</v>
      </c>
    </row>
    <row r="5" spans="1:22">
      <c r="A5" s="45" t="s">
        <v>18</v>
      </c>
      <c r="B5" s="18" t="s">
        <v>806</v>
      </c>
      <c r="C5" s="18">
        <v>8</v>
      </c>
      <c r="D5" s="18" t="s">
        <v>953</v>
      </c>
      <c r="E5" s="18">
        <v>8</v>
      </c>
      <c r="F5" s="18" t="s">
        <v>953</v>
      </c>
      <c r="G5" s="18">
        <v>8</v>
      </c>
      <c r="H5" s="18" t="s">
        <v>16</v>
      </c>
      <c r="I5" s="18">
        <v>8</v>
      </c>
      <c r="J5" s="18" t="s">
        <v>15</v>
      </c>
      <c r="K5" s="18">
        <v>8</v>
      </c>
      <c r="L5" s="289"/>
      <c r="M5" s="18"/>
      <c r="N5" s="18"/>
      <c r="O5" s="18"/>
      <c r="P5" s="3">
        <f t="shared" si="0"/>
        <v>40</v>
      </c>
    </row>
    <row r="6" spans="1:22">
      <c r="A6" s="163" t="s">
        <v>214</v>
      </c>
      <c r="B6" s="45" t="s">
        <v>26</v>
      </c>
      <c r="C6" s="48"/>
      <c r="D6" s="45" t="s">
        <v>26</v>
      </c>
      <c r="E6" s="48"/>
      <c r="F6" s="135" t="s">
        <v>26</v>
      </c>
      <c r="G6" s="48"/>
      <c r="H6" s="297"/>
      <c r="I6" s="48"/>
      <c r="J6" s="45" t="s">
        <v>954</v>
      </c>
      <c r="K6" s="48">
        <v>5</v>
      </c>
      <c r="L6" s="56" t="s">
        <v>955</v>
      </c>
      <c r="M6" s="48">
        <v>9.5</v>
      </c>
      <c r="N6" s="45"/>
      <c r="O6" s="18"/>
      <c r="P6" s="3">
        <f>SUM(O6,M6,K6,I6,G6,E6,C6)</f>
        <v>14.5</v>
      </c>
    </row>
    <row r="7" spans="1:22">
      <c r="A7" s="163" t="s">
        <v>694</v>
      </c>
      <c r="B7" s="56"/>
      <c r="C7" s="48"/>
      <c r="D7" s="56" t="s">
        <v>956</v>
      </c>
      <c r="E7" s="48">
        <v>7.5</v>
      </c>
      <c r="F7" s="155" t="s">
        <v>696</v>
      </c>
      <c r="G7" s="48">
        <v>4</v>
      </c>
      <c r="H7" s="298" t="s">
        <v>762</v>
      </c>
      <c r="I7" s="48">
        <v>7.5</v>
      </c>
      <c r="J7" s="56" t="s">
        <v>957</v>
      </c>
      <c r="K7" s="48">
        <v>6.5</v>
      </c>
      <c r="L7" s="38"/>
      <c r="M7" s="47"/>
      <c r="N7" s="18"/>
      <c r="O7" s="18"/>
      <c r="P7" s="3">
        <f t="shared" si="0"/>
        <v>25.5</v>
      </c>
      <c r="R7" s="121" t="s">
        <v>31</v>
      </c>
      <c r="S7" s="121" t="s">
        <v>32</v>
      </c>
      <c r="T7" s="121" t="s">
        <v>33</v>
      </c>
      <c r="U7" s="121"/>
    </row>
    <row r="8" spans="1:22" ht="72">
      <c r="A8" s="128" t="s">
        <v>698</v>
      </c>
      <c r="B8" s="45" t="s">
        <v>958</v>
      </c>
      <c r="C8" s="48">
        <v>8</v>
      </c>
      <c r="D8" s="48" t="s">
        <v>26</v>
      </c>
      <c r="E8" s="48"/>
      <c r="F8" s="48" t="s">
        <v>26</v>
      </c>
      <c r="G8" s="48"/>
      <c r="H8" s="38"/>
      <c r="I8" s="48"/>
      <c r="J8" s="45" t="s">
        <v>959</v>
      </c>
      <c r="K8" s="48">
        <v>8</v>
      </c>
      <c r="L8" s="45" t="s">
        <v>960</v>
      </c>
      <c r="M8" s="48">
        <v>8</v>
      </c>
      <c r="N8" s="18"/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2" ht="28.9">
      <c r="A9" s="128" t="s">
        <v>701</v>
      </c>
      <c r="B9" s="48"/>
      <c r="C9" s="48"/>
      <c r="D9" s="50" t="s">
        <v>961</v>
      </c>
      <c r="E9" s="48">
        <v>3</v>
      </c>
      <c r="F9" s="38"/>
      <c r="G9" s="48"/>
      <c r="H9" s="48" t="s">
        <v>962</v>
      </c>
      <c r="I9" s="48">
        <v>4.5</v>
      </c>
      <c r="J9" s="48" t="s">
        <v>963</v>
      </c>
      <c r="K9" s="48">
        <v>4.5</v>
      </c>
      <c r="L9" s="135" t="s">
        <v>964</v>
      </c>
      <c r="M9" s="48">
        <v>5</v>
      </c>
      <c r="N9" s="18"/>
      <c r="O9" s="18"/>
      <c r="P9" s="3">
        <f t="shared" si="0"/>
        <v>17</v>
      </c>
      <c r="R9" s="121"/>
      <c r="S9" s="121"/>
      <c r="T9" s="260"/>
      <c r="U9" s="121" t="s">
        <v>45</v>
      </c>
    </row>
    <row r="10" spans="1:22">
      <c r="A10" s="128" t="s">
        <v>704</v>
      </c>
      <c r="B10" s="48"/>
      <c r="C10" s="48"/>
      <c r="D10" s="45" t="s">
        <v>54</v>
      </c>
      <c r="E10" s="48" t="s">
        <v>965</v>
      </c>
      <c r="F10" s="45" t="s">
        <v>966</v>
      </c>
      <c r="G10" s="48">
        <v>6</v>
      </c>
      <c r="H10" s="48" t="s">
        <v>958</v>
      </c>
      <c r="I10" s="48">
        <v>8</v>
      </c>
      <c r="J10" s="38"/>
      <c r="K10" s="48"/>
      <c r="L10" s="48" t="s">
        <v>967</v>
      </c>
      <c r="M10" s="48">
        <v>9.5</v>
      </c>
      <c r="N10" s="18"/>
      <c r="O10" s="18"/>
      <c r="P10" s="3">
        <f>SUM(O10,M10,K10,I10,G10,E10,C10)</f>
        <v>23.5</v>
      </c>
      <c r="R10" s="121"/>
      <c r="S10" s="121"/>
      <c r="T10" s="121"/>
      <c r="U10" s="121" t="s">
        <v>50</v>
      </c>
    </row>
    <row r="11" spans="1:22" ht="43.15">
      <c r="A11" s="45" t="s">
        <v>708</v>
      </c>
      <c r="B11" s="48" t="s">
        <v>968</v>
      </c>
      <c r="C11" s="48">
        <v>7.5</v>
      </c>
      <c r="D11" s="48" t="s">
        <v>968</v>
      </c>
      <c r="E11" s="48">
        <v>7.5</v>
      </c>
      <c r="F11" s="45" t="s">
        <v>969</v>
      </c>
      <c r="G11" s="48">
        <v>8.5</v>
      </c>
      <c r="H11" s="48"/>
      <c r="I11" s="48"/>
      <c r="J11" s="38"/>
      <c r="K11" s="48"/>
      <c r="L11" s="38"/>
      <c r="M11" s="48"/>
      <c r="N11" s="18"/>
      <c r="O11" s="18"/>
      <c r="P11" s="3">
        <f>SUM(O11,M11,K11,I11,G11,E11,C11)</f>
        <v>23.5</v>
      </c>
      <c r="R11" s="121"/>
      <c r="S11" s="121"/>
      <c r="T11" s="121"/>
      <c r="U11" s="121" t="s">
        <v>601</v>
      </c>
    </row>
    <row r="12" spans="1:22" ht="28.9">
      <c r="A12" s="163" t="s">
        <v>710</v>
      </c>
      <c r="B12" s="56" t="s">
        <v>970</v>
      </c>
      <c r="C12" s="48">
        <v>7.5</v>
      </c>
      <c r="D12" s="56" t="s">
        <v>971</v>
      </c>
      <c r="E12" s="48">
        <v>8.5</v>
      </c>
      <c r="F12" s="76"/>
      <c r="G12" s="48"/>
      <c r="H12" s="56" t="s">
        <v>972</v>
      </c>
      <c r="I12" s="48">
        <v>7.5</v>
      </c>
      <c r="J12" s="157" t="s">
        <v>26</v>
      </c>
      <c r="K12" s="48"/>
      <c r="L12" s="56"/>
      <c r="M12" s="48"/>
      <c r="N12" s="18"/>
      <c r="O12" s="18"/>
      <c r="P12" s="3">
        <f t="shared" ref="P12:P13" si="1">SUM(O12,M12,K12,I12,G12,E12,C12)</f>
        <v>23.5</v>
      </c>
      <c r="R12" s="121"/>
      <c r="S12" s="121"/>
      <c r="T12" s="121"/>
      <c r="U12" s="121" t="s">
        <v>58</v>
      </c>
    </row>
    <row r="13" spans="1:22" ht="28.9">
      <c r="A13" s="163" t="s">
        <v>712</v>
      </c>
      <c r="B13" s="56"/>
      <c r="C13" s="48"/>
      <c r="D13" s="50" t="s">
        <v>961</v>
      </c>
      <c r="E13" s="48">
        <v>3</v>
      </c>
      <c r="F13" s="48" t="s">
        <v>973</v>
      </c>
      <c r="G13" s="48">
        <v>5.75</v>
      </c>
      <c r="H13" s="48" t="s">
        <v>974</v>
      </c>
      <c r="I13" s="48">
        <v>3</v>
      </c>
      <c r="J13" s="60" t="s">
        <v>975</v>
      </c>
      <c r="K13" s="48">
        <v>5</v>
      </c>
      <c r="L13" s="56" t="s">
        <v>976</v>
      </c>
      <c r="M13" s="48">
        <v>8.5</v>
      </c>
      <c r="N13" s="18"/>
      <c r="O13" s="18"/>
      <c r="P13" s="3">
        <f t="shared" si="1"/>
        <v>25.25</v>
      </c>
      <c r="R13" s="121"/>
      <c r="S13" s="121"/>
      <c r="T13" s="121"/>
      <c r="U13" s="121"/>
    </row>
    <row r="14" spans="1:22">
      <c r="A14" s="60" t="s">
        <v>716</v>
      </c>
      <c r="B14" s="82"/>
      <c r="C14" s="18"/>
      <c r="D14" s="56"/>
      <c r="E14" s="48"/>
      <c r="F14" s="56" t="s">
        <v>977</v>
      </c>
      <c r="G14" s="48">
        <v>7.5</v>
      </c>
      <c r="H14" s="48" t="s">
        <v>978</v>
      </c>
      <c r="I14" s="48">
        <v>8</v>
      </c>
      <c r="J14" s="48" t="s">
        <v>979</v>
      </c>
      <c r="K14" s="48">
        <v>9.5</v>
      </c>
      <c r="L14" s="56"/>
      <c r="M14" s="48"/>
      <c r="N14" s="18"/>
      <c r="O14" s="18"/>
      <c r="P14" s="3">
        <f t="shared" si="0"/>
        <v>25</v>
      </c>
      <c r="R14" s="121"/>
      <c r="S14" s="121"/>
      <c r="T14" s="121"/>
      <c r="U14" s="121"/>
    </row>
    <row r="15" spans="1:22" ht="28.9">
      <c r="A15" s="163" t="s">
        <v>719</v>
      </c>
      <c r="B15" s="45" t="s">
        <v>980</v>
      </c>
      <c r="C15" s="48">
        <v>7.5</v>
      </c>
      <c r="D15" s="45" t="s">
        <v>981</v>
      </c>
      <c r="E15" s="48">
        <v>7.5</v>
      </c>
      <c r="F15" s="48" t="s">
        <v>982</v>
      </c>
      <c r="G15" s="48">
        <v>8</v>
      </c>
      <c r="H15" s="45"/>
      <c r="I15" s="48"/>
      <c r="J15" s="45" t="s">
        <v>26</v>
      </c>
      <c r="K15" s="48"/>
      <c r="L15" s="48" t="s">
        <v>26</v>
      </c>
      <c r="M15" s="48"/>
      <c r="N15" s="18"/>
      <c r="O15" s="18"/>
      <c r="P15" s="3">
        <f t="shared" si="0"/>
        <v>23</v>
      </c>
      <c r="R15" s="121"/>
      <c r="S15" s="121"/>
      <c r="T15" s="121"/>
      <c r="U15" s="121"/>
    </row>
    <row r="16" spans="1:22" ht="18">
      <c r="A16" s="163" t="s">
        <v>725</v>
      </c>
      <c r="B16" s="56" t="s">
        <v>977</v>
      </c>
      <c r="C16" s="48">
        <v>7.5</v>
      </c>
      <c r="D16" s="234" t="s">
        <v>983</v>
      </c>
      <c r="E16" s="48"/>
      <c r="F16" s="56" t="s">
        <v>984</v>
      </c>
      <c r="G16" s="48">
        <v>7.5</v>
      </c>
      <c r="H16" s="56" t="s">
        <v>977</v>
      </c>
      <c r="I16" s="48">
        <v>7.5</v>
      </c>
      <c r="J16" s="56" t="s">
        <v>985</v>
      </c>
      <c r="K16" s="48">
        <v>7.5</v>
      </c>
      <c r="L16" s="273"/>
      <c r="M16" s="48"/>
      <c r="N16" s="18"/>
      <c r="O16" s="18"/>
      <c r="P16" s="3">
        <f t="shared" si="0"/>
        <v>30</v>
      </c>
      <c r="R16" s="299" t="s">
        <v>74</v>
      </c>
      <c r="S16" s="299"/>
      <c r="T16" s="299" t="s">
        <v>75</v>
      </c>
      <c r="U16" s="299"/>
      <c r="V16" s="300"/>
    </row>
    <row r="17" spans="1:21" ht="62.45" customHeight="1">
      <c r="A17" s="45" t="s">
        <v>730</v>
      </c>
      <c r="B17" s="45"/>
      <c r="C17" s="48"/>
      <c r="D17" s="50" t="s">
        <v>961</v>
      </c>
      <c r="E17" s="48">
        <v>3</v>
      </c>
      <c r="F17" s="45" t="s">
        <v>986</v>
      </c>
      <c r="G17" s="48">
        <v>8</v>
      </c>
      <c r="H17" s="301" t="s">
        <v>987</v>
      </c>
      <c r="I17" s="48">
        <v>3</v>
      </c>
      <c r="J17" s="298" t="s">
        <v>987</v>
      </c>
      <c r="K17" s="18">
        <v>3</v>
      </c>
      <c r="L17" s="45" t="s">
        <v>988</v>
      </c>
      <c r="M17" s="48">
        <v>5</v>
      </c>
      <c r="N17" s="18"/>
      <c r="O17" s="18"/>
      <c r="P17" s="3">
        <f t="shared" si="0"/>
        <v>22</v>
      </c>
      <c r="R17" s="121"/>
      <c r="S17" s="121"/>
      <c r="T17" s="121"/>
      <c r="U17" s="121"/>
    </row>
    <row r="18" spans="1:21">
      <c r="A18" s="45" t="s">
        <v>734</v>
      </c>
      <c r="B18" s="69"/>
      <c r="C18" s="48"/>
      <c r="D18" s="45" t="s">
        <v>989</v>
      </c>
      <c r="E18" s="48">
        <v>3.5</v>
      </c>
      <c r="F18" s="45" t="s">
        <v>989</v>
      </c>
      <c r="G18" s="48">
        <v>3.5</v>
      </c>
      <c r="H18" s="69"/>
      <c r="I18" s="48"/>
      <c r="J18" s="82"/>
      <c r="K18" s="18"/>
      <c r="L18" s="45"/>
      <c r="M18" s="48"/>
      <c r="N18" s="18"/>
      <c r="O18" s="18"/>
      <c r="P18" s="3">
        <f t="shared" si="0"/>
        <v>7</v>
      </c>
      <c r="R18" s="121"/>
      <c r="S18" s="121"/>
      <c r="T18" s="121"/>
      <c r="U18" s="121"/>
    </row>
    <row r="19" spans="1:21">
      <c r="A19" s="45" t="s">
        <v>990</v>
      </c>
      <c r="B19" s="82"/>
      <c r="C19" s="18"/>
      <c r="D19" s="82"/>
      <c r="E19" s="18"/>
      <c r="F19" s="82"/>
      <c r="G19" s="18"/>
      <c r="H19" s="85"/>
      <c r="I19" s="18"/>
      <c r="J19" s="82"/>
      <c r="K19" s="18"/>
      <c r="L19" s="85"/>
      <c r="M19" s="18"/>
      <c r="N19" s="18"/>
      <c r="O19" s="18"/>
      <c r="P19" s="3">
        <f t="shared" si="0"/>
        <v>0</v>
      </c>
      <c r="R19" s="121"/>
      <c r="S19" s="121"/>
      <c r="T19" s="121"/>
      <c r="U19" s="121"/>
    </row>
    <row r="20" spans="1:21">
      <c r="A20" s="45" t="s">
        <v>990</v>
      </c>
      <c r="B20" s="82"/>
      <c r="C20" s="18"/>
      <c r="D20" s="82"/>
      <c r="E20" s="18"/>
      <c r="F20" s="86"/>
      <c r="G20" s="18"/>
      <c r="H20" s="85"/>
      <c r="I20" s="18"/>
      <c r="J20" s="82"/>
      <c r="K20" s="18"/>
      <c r="L20" s="85"/>
      <c r="M20" s="18"/>
      <c r="N20" s="18"/>
      <c r="O20" s="18"/>
      <c r="P20" s="3">
        <f t="shared" si="0"/>
        <v>0</v>
      </c>
    </row>
    <row r="21" spans="1:21">
      <c r="A21" s="52" t="s">
        <v>95</v>
      </c>
      <c r="B21" s="3"/>
      <c r="C21" s="3">
        <f>SUM(C7:C14)</f>
        <v>23</v>
      </c>
      <c r="D21" s="3"/>
      <c r="E21" s="3">
        <f>SUM(E6:E20)</f>
        <v>43.5</v>
      </c>
      <c r="F21" s="3"/>
      <c r="G21" s="3">
        <f>SUM(G6:G20)</f>
        <v>58.75</v>
      </c>
      <c r="H21" s="3"/>
      <c r="I21" s="3">
        <f>SUM(I6:I20)</f>
        <v>49</v>
      </c>
      <c r="J21" s="3"/>
      <c r="K21" s="3">
        <f>SUM(K6:K20)</f>
        <v>49</v>
      </c>
      <c r="L21" s="3"/>
      <c r="M21" s="3">
        <f>SUM(M6:M20)</f>
        <v>45.5</v>
      </c>
      <c r="N21" s="3"/>
      <c r="O21" s="3">
        <f>SUM(O6:O20)</f>
        <v>0</v>
      </c>
      <c r="P21" s="3">
        <f>SUM(O21,M21,K21,I21,G21,E21,C21)</f>
        <v>268.75</v>
      </c>
    </row>
    <row r="22" spans="1:21">
      <c r="C22">
        <f>C21*20</f>
        <v>460</v>
      </c>
      <c r="G22">
        <f>G21*20</f>
        <v>1175</v>
      </c>
      <c r="I22">
        <f>I21*20</f>
        <v>980</v>
      </c>
      <c r="K22">
        <f>K21*20</f>
        <v>980</v>
      </c>
      <c r="M22">
        <f>M21*20</f>
        <v>910</v>
      </c>
    </row>
    <row r="24" spans="1:21" ht="15" thickBot="1">
      <c r="A24" s="264" t="s">
        <v>96</v>
      </c>
      <c r="B24" s="264"/>
      <c r="C24" s="117"/>
      <c r="D24" s="121"/>
    </row>
    <row r="25" spans="1:21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1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21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  <c r="Q27">
        <f>P21*20</f>
        <v>5375</v>
      </c>
    </row>
    <row r="28" spans="1:21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1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1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1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  <c r="T31" t="s">
        <v>110</v>
      </c>
    </row>
    <row r="32" spans="1:21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E16D-0B81-40AB-9386-F04D2C62EF2B}">
  <sheetPr>
    <tabColor theme="9"/>
  </sheetPr>
  <dimension ref="A1:U32"/>
  <sheetViews>
    <sheetView zoomScale="70" zoomScaleNormal="70" workbookViewId="0">
      <selection activeCell="K5" sqref="K5"/>
    </sheetView>
  </sheetViews>
  <sheetFormatPr defaultRowHeight="14.45"/>
  <cols>
    <col min="1" max="1" width="26.28515625" customWidth="1"/>
    <col min="2" max="2" width="18.140625" customWidth="1"/>
    <col min="3" max="3" width="4.28515625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46076</v>
      </c>
      <c r="C2" s="6"/>
      <c r="D2" s="5">
        <v>46077</v>
      </c>
      <c r="E2" s="6"/>
      <c r="F2" s="5">
        <v>46078</v>
      </c>
      <c r="G2" s="6"/>
      <c r="H2" s="5">
        <v>46079</v>
      </c>
      <c r="I2" s="6"/>
      <c r="J2" s="5">
        <v>46080</v>
      </c>
      <c r="K2" s="6"/>
      <c r="L2" s="5">
        <v>46081</v>
      </c>
      <c r="M2" s="6"/>
      <c r="N2" s="5">
        <v>46082</v>
      </c>
      <c r="O2" s="7"/>
      <c r="P2" s="3"/>
    </row>
    <row r="3" spans="1:21" ht="63" customHeight="1">
      <c r="A3" s="8" t="s">
        <v>9</v>
      </c>
      <c r="B3" s="62" t="s">
        <v>991</v>
      </c>
      <c r="C3" s="10"/>
      <c r="D3" s="62" t="s">
        <v>992</v>
      </c>
      <c r="E3" s="295"/>
      <c r="F3" s="62" t="s">
        <v>993</v>
      </c>
      <c r="G3" s="296"/>
      <c r="H3" s="62" t="s">
        <v>994</v>
      </c>
      <c r="I3" s="295"/>
      <c r="J3" s="285" t="s">
        <v>995</v>
      </c>
      <c r="K3" s="10"/>
      <c r="L3" s="9" t="s">
        <v>946</v>
      </c>
      <c r="M3" s="13"/>
      <c r="N3" s="9" t="s">
        <v>946</v>
      </c>
      <c r="O3" s="15"/>
      <c r="P3" s="3"/>
      <c r="U3" t="s">
        <v>996</v>
      </c>
    </row>
    <row r="4" spans="1:21">
      <c r="A4" s="82" t="s">
        <v>14</v>
      </c>
      <c r="B4" s="294" t="s">
        <v>997</v>
      </c>
      <c r="C4" s="18">
        <v>7.5</v>
      </c>
      <c r="D4" s="18" t="s">
        <v>688</v>
      </c>
      <c r="E4" s="18">
        <v>9</v>
      </c>
      <c r="F4" s="294" t="s">
        <v>998</v>
      </c>
      <c r="G4" s="18">
        <v>10</v>
      </c>
      <c r="H4" s="18" t="s">
        <v>15</v>
      </c>
      <c r="I4" s="18">
        <v>8</v>
      </c>
      <c r="J4" s="18" t="s">
        <v>999</v>
      </c>
      <c r="K4" s="18">
        <v>5.5</v>
      </c>
      <c r="L4" s="289"/>
      <c r="M4" s="18"/>
      <c r="N4" s="18"/>
      <c r="O4" s="18"/>
      <c r="P4" s="3">
        <f t="shared" ref="P4:P19" si="0">SUM(O4,M4,K4,I4,G4,E4,C4)</f>
        <v>40</v>
      </c>
      <c r="U4" t="s">
        <v>1000</v>
      </c>
    </row>
    <row r="5" spans="1:21" ht="30" customHeight="1">
      <c r="A5" s="45" t="s">
        <v>18</v>
      </c>
      <c r="B5" s="294" t="s">
        <v>344</v>
      </c>
      <c r="C5" s="18">
        <v>8.5</v>
      </c>
      <c r="D5" s="18" t="s">
        <v>15</v>
      </c>
      <c r="E5" s="18">
        <v>8</v>
      </c>
      <c r="F5" s="18" t="s">
        <v>16</v>
      </c>
      <c r="G5" s="18">
        <v>8</v>
      </c>
      <c r="H5" s="18" t="s">
        <v>16</v>
      </c>
      <c r="I5" s="18">
        <v>8</v>
      </c>
      <c r="J5" s="18" t="s">
        <v>580</v>
      </c>
      <c r="K5" s="18">
        <v>8</v>
      </c>
      <c r="L5" s="289"/>
      <c r="M5" s="18"/>
      <c r="N5" s="18"/>
      <c r="O5" s="18"/>
      <c r="P5" s="3">
        <f t="shared" si="0"/>
        <v>40.5</v>
      </c>
      <c r="U5" t="s">
        <v>1001</v>
      </c>
    </row>
    <row r="6" spans="1:21">
      <c r="A6" s="163" t="s">
        <v>214</v>
      </c>
      <c r="B6" s="33" t="s">
        <v>202</v>
      </c>
      <c r="C6" s="48">
        <v>7</v>
      </c>
      <c r="D6" s="45" t="s">
        <v>26</v>
      </c>
      <c r="E6" s="48"/>
      <c r="F6" s="45" t="s">
        <v>26</v>
      </c>
      <c r="G6" s="48"/>
      <c r="H6" s="129" t="s">
        <v>26</v>
      </c>
      <c r="I6" s="48"/>
      <c r="J6" s="45" t="s">
        <v>26</v>
      </c>
      <c r="K6" s="48"/>
      <c r="L6" s="45" t="s">
        <v>26</v>
      </c>
      <c r="M6" s="48"/>
      <c r="N6" s="45" t="s">
        <v>26</v>
      </c>
      <c r="O6" s="18"/>
      <c r="P6" s="3">
        <f>SUM(O6,M6,K6,I6,G6,E6,C6)</f>
        <v>7</v>
      </c>
    </row>
    <row r="7" spans="1:21" ht="28.9">
      <c r="A7" s="163" t="s">
        <v>694</v>
      </c>
      <c r="B7" s="48" t="s">
        <v>1002</v>
      </c>
      <c r="C7" s="48">
        <v>7.5</v>
      </c>
      <c r="D7" s="48" t="s">
        <v>1003</v>
      </c>
      <c r="E7" s="48">
        <v>7.5</v>
      </c>
      <c r="F7" s="133" t="s">
        <v>1004</v>
      </c>
      <c r="G7" s="48">
        <v>7.5</v>
      </c>
      <c r="H7" s="133" t="s">
        <v>1005</v>
      </c>
      <c r="I7" s="48">
        <v>7.5</v>
      </c>
      <c r="J7" s="50" t="s">
        <v>1006</v>
      </c>
      <c r="K7" s="48">
        <v>5</v>
      </c>
      <c r="L7" s="38"/>
      <c r="M7" s="47"/>
      <c r="N7" s="18"/>
      <c r="O7" s="18"/>
      <c r="P7" s="3">
        <f t="shared" si="0"/>
        <v>35</v>
      </c>
      <c r="R7" s="121" t="s">
        <v>31</v>
      </c>
      <c r="S7" s="121" t="s">
        <v>32</v>
      </c>
      <c r="T7" s="121" t="s">
        <v>33</v>
      </c>
      <c r="U7" s="121"/>
    </row>
    <row r="8" spans="1:21" ht="43.15">
      <c r="A8" s="128" t="s">
        <v>698</v>
      </c>
      <c r="B8" s="38"/>
      <c r="C8" s="48"/>
      <c r="D8" s="153" t="s">
        <v>1007</v>
      </c>
      <c r="E8" s="48">
        <v>6.5</v>
      </c>
      <c r="F8" s="48" t="s">
        <v>1008</v>
      </c>
      <c r="G8" s="48">
        <v>9.5</v>
      </c>
      <c r="H8" s="38"/>
      <c r="I8" s="48"/>
      <c r="J8" s="48" t="s">
        <v>1009</v>
      </c>
      <c r="K8" s="48">
        <v>8</v>
      </c>
      <c r="L8" s="290"/>
      <c r="M8" s="48"/>
      <c r="N8" s="18"/>
      <c r="O8" s="18"/>
      <c r="P8" s="3">
        <f t="shared" si="0"/>
        <v>24</v>
      </c>
      <c r="R8" s="121"/>
      <c r="S8" s="121"/>
      <c r="T8" s="260"/>
      <c r="U8" s="121" t="s">
        <v>39</v>
      </c>
    </row>
    <row r="9" spans="1:21" ht="57.6">
      <c r="A9" s="128" t="s">
        <v>701</v>
      </c>
      <c r="B9" s="38"/>
      <c r="C9" s="48"/>
      <c r="D9" s="81" t="s">
        <v>807</v>
      </c>
      <c r="E9" s="48"/>
      <c r="F9" s="81" t="s">
        <v>1010</v>
      </c>
      <c r="G9" s="48">
        <v>5</v>
      </c>
      <c r="H9" s="81" t="s">
        <v>1010</v>
      </c>
      <c r="I9" s="48">
        <v>5</v>
      </c>
      <c r="J9" s="81"/>
      <c r="K9" s="48"/>
      <c r="L9" s="45" t="s">
        <v>1011</v>
      </c>
      <c r="M9" s="48">
        <v>8</v>
      </c>
      <c r="N9" s="18"/>
      <c r="O9" s="18"/>
      <c r="P9" s="3">
        <f t="shared" si="0"/>
        <v>18</v>
      </c>
      <c r="R9" s="121"/>
      <c r="S9" s="121"/>
      <c r="T9" s="260"/>
      <c r="U9" s="121" t="s">
        <v>45</v>
      </c>
    </row>
    <row r="10" spans="1:21" ht="28.9">
      <c r="A10" s="128" t="s">
        <v>704</v>
      </c>
      <c r="B10" s="48"/>
      <c r="C10" s="48"/>
      <c r="D10" s="38"/>
      <c r="E10" s="48"/>
      <c r="F10" s="50" t="s">
        <v>1012</v>
      </c>
      <c r="G10" s="48">
        <v>7.5</v>
      </c>
      <c r="H10" s="50" t="s">
        <v>1013</v>
      </c>
      <c r="I10" s="48">
        <v>7.5</v>
      </c>
      <c r="J10" s="48" t="s">
        <v>1014</v>
      </c>
      <c r="K10" s="48">
        <v>7.5</v>
      </c>
      <c r="L10" s="48"/>
      <c r="M10" s="48"/>
      <c r="N10" s="18"/>
      <c r="O10" s="18"/>
      <c r="P10" s="3">
        <f>SUM(O10,M10,K10,I10,G10,E10,C10)</f>
        <v>22.5</v>
      </c>
      <c r="R10" s="121"/>
      <c r="S10" s="121"/>
      <c r="T10" s="121"/>
      <c r="U10" s="121" t="s">
        <v>50</v>
      </c>
    </row>
    <row r="11" spans="1:21" ht="43.15">
      <c r="A11" s="163" t="s">
        <v>710</v>
      </c>
      <c r="B11" s="56"/>
      <c r="C11" s="48"/>
      <c r="D11" s="60" t="s">
        <v>1015</v>
      </c>
      <c r="E11" s="48">
        <v>7.5</v>
      </c>
      <c r="F11" s="50" t="s">
        <v>1016</v>
      </c>
      <c r="G11" s="48">
        <v>5</v>
      </c>
      <c r="H11" s="50" t="s">
        <v>1017</v>
      </c>
      <c r="I11" s="48">
        <v>5</v>
      </c>
      <c r="J11" s="60" t="s">
        <v>1018</v>
      </c>
      <c r="K11" s="48">
        <v>7.5</v>
      </c>
      <c r="L11" s="56" t="s">
        <v>1019</v>
      </c>
      <c r="M11" s="48">
        <v>10.5</v>
      </c>
      <c r="N11" s="18"/>
      <c r="O11" s="18"/>
      <c r="P11" s="3">
        <f t="shared" ref="P11:P12" si="1">SUM(O11,M11,K11,I11,G11,E11,C11)</f>
        <v>35.5</v>
      </c>
      <c r="R11" s="121"/>
      <c r="S11" s="121"/>
      <c r="T11" s="121"/>
      <c r="U11" s="121" t="s">
        <v>601</v>
      </c>
    </row>
    <row r="12" spans="1:21" ht="28.9">
      <c r="A12" s="163" t="s">
        <v>712</v>
      </c>
      <c r="B12" s="56" t="s">
        <v>1020</v>
      </c>
      <c r="C12" s="48">
        <v>7.5</v>
      </c>
      <c r="D12" s="56" t="s">
        <v>1021</v>
      </c>
      <c r="E12" s="48">
        <v>7.5</v>
      </c>
      <c r="F12" s="56"/>
      <c r="G12" s="48"/>
      <c r="H12" s="56" t="s">
        <v>1022</v>
      </c>
      <c r="I12" s="48">
        <v>6.5</v>
      </c>
      <c r="J12" s="38"/>
      <c r="K12" s="48"/>
      <c r="L12" s="56" t="s">
        <v>1023</v>
      </c>
      <c r="M12" s="48">
        <v>9.5</v>
      </c>
      <c r="N12" s="18"/>
      <c r="O12" s="18"/>
      <c r="P12" s="3">
        <f t="shared" si="1"/>
        <v>31</v>
      </c>
      <c r="R12" s="121"/>
      <c r="S12" s="121"/>
      <c r="T12" s="121"/>
      <c r="U12" s="121" t="s">
        <v>58</v>
      </c>
    </row>
    <row r="13" spans="1:21" ht="49.9" customHeight="1">
      <c r="A13" s="60" t="s">
        <v>716</v>
      </c>
      <c r="B13" s="82" t="s">
        <v>1024</v>
      </c>
      <c r="C13" s="18">
        <v>7.5</v>
      </c>
      <c r="D13" s="82" t="s">
        <v>1025</v>
      </c>
      <c r="E13" s="18">
        <v>5</v>
      </c>
      <c r="F13" s="82" t="s">
        <v>1026</v>
      </c>
      <c r="G13" s="18">
        <v>7.5</v>
      </c>
      <c r="H13" s="82" t="s">
        <v>1027</v>
      </c>
      <c r="I13" s="18">
        <v>7.5</v>
      </c>
      <c r="J13" s="48"/>
      <c r="K13" s="48"/>
      <c r="L13" s="56"/>
      <c r="M13" s="48"/>
      <c r="N13" s="18"/>
      <c r="O13" s="18"/>
      <c r="P13" s="3">
        <f t="shared" si="0"/>
        <v>27.5</v>
      </c>
      <c r="R13" s="121"/>
      <c r="S13" s="121"/>
      <c r="T13" s="121"/>
      <c r="U13" s="121"/>
    </row>
    <row r="14" spans="1:21" ht="57.6">
      <c r="A14" s="163" t="s">
        <v>719</v>
      </c>
      <c r="B14" s="45" t="s">
        <v>1028</v>
      </c>
      <c r="C14" s="48">
        <v>5.5</v>
      </c>
      <c r="D14" s="45" t="s">
        <v>1029</v>
      </c>
      <c r="E14" s="48">
        <v>7</v>
      </c>
      <c r="F14" s="50" t="s">
        <v>1030</v>
      </c>
      <c r="G14" s="48">
        <v>7.5</v>
      </c>
      <c r="H14" s="204" t="s">
        <v>1031</v>
      </c>
      <c r="I14" s="48">
        <v>6</v>
      </c>
      <c r="J14" s="45" t="s">
        <v>1032</v>
      </c>
      <c r="K14" s="48">
        <v>5</v>
      </c>
      <c r="L14" s="48" t="s">
        <v>1033</v>
      </c>
      <c r="M14" s="48">
        <v>7</v>
      </c>
      <c r="N14" s="18"/>
      <c r="O14" s="18"/>
      <c r="P14" s="3">
        <f t="shared" si="0"/>
        <v>38</v>
      </c>
      <c r="R14" s="121"/>
      <c r="S14" s="121"/>
      <c r="T14" s="121"/>
      <c r="U14" s="121"/>
    </row>
    <row r="15" spans="1:21" ht="30" customHeight="1">
      <c r="A15" s="163" t="s">
        <v>725</v>
      </c>
      <c r="B15" s="60" t="s">
        <v>1034</v>
      </c>
      <c r="C15" s="48">
        <v>7.5</v>
      </c>
      <c r="D15" s="283"/>
      <c r="E15" s="48"/>
      <c r="F15" s="60" t="s">
        <v>1035</v>
      </c>
      <c r="G15" s="48">
        <v>7.5</v>
      </c>
      <c r="H15" s="60" t="s">
        <v>1035</v>
      </c>
      <c r="I15" s="48">
        <v>6</v>
      </c>
      <c r="J15" s="56" t="s">
        <v>1036</v>
      </c>
      <c r="K15" s="48">
        <v>7</v>
      </c>
      <c r="L15" s="273"/>
      <c r="M15" s="48"/>
      <c r="N15" s="18"/>
      <c r="O15" s="18"/>
      <c r="P15" s="3">
        <f t="shared" si="0"/>
        <v>28</v>
      </c>
      <c r="R15" s="121"/>
      <c r="S15" s="121"/>
      <c r="T15" s="121"/>
      <c r="U15" s="121"/>
    </row>
    <row r="16" spans="1:21" ht="28.9">
      <c r="A16" s="45" t="s">
        <v>730</v>
      </c>
      <c r="B16" s="45" t="s">
        <v>1037</v>
      </c>
      <c r="C16" s="48">
        <v>10</v>
      </c>
      <c r="D16" s="45" t="s">
        <v>1038</v>
      </c>
      <c r="E16" s="48">
        <v>10.5</v>
      </c>
      <c r="F16" s="45" t="s">
        <v>1039</v>
      </c>
      <c r="G16" s="48">
        <v>9.5</v>
      </c>
      <c r="H16" s="45" t="s">
        <v>1039</v>
      </c>
      <c r="I16" s="48">
        <v>9.5</v>
      </c>
      <c r="J16" s="82"/>
      <c r="K16" s="18"/>
      <c r="L16" s="45" t="s">
        <v>589</v>
      </c>
      <c r="M16" s="48"/>
      <c r="N16" s="18"/>
      <c r="O16" s="18"/>
      <c r="P16" s="3">
        <f t="shared" si="0"/>
        <v>39.5</v>
      </c>
      <c r="R16" s="121"/>
      <c r="S16" s="121"/>
      <c r="T16" s="121"/>
      <c r="U16" s="121"/>
    </row>
    <row r="17" spans="1:21" ht="43.15">
      <c r="A17" s="45" t="s">
        <v>1040</v>
      </c>
      <c r="B17" s="45" t="s">
        <v>1041</v>
      </c>
      <c r="C17" s="48">
        <v>3.5</v>
      </c>
      <c r="D17" s="69"/>
      <c r="E17" s="48"/>
      <c r="F17" s="45" t="s">
        <v>1041</v>
      </c>
      <c r="G17" s="48">
        <v>3.5</v>
      </c>
      <c r="H17" s="45" t="s">
        <v>1041</v>
      </c>
      <c r="I17" s="48">
        <v>3.5</v>
      </c>
      <c r="J17" s="141"/>
      <c r="K17" s="18"/>
      <c r="L17" s="45"/>
      <c r="M17" s="48"/>
      <c r="N17" s="18"/>
      <c r="O17" s="18"/>
      <c r="P17" s="3">
        <f t="shared" si="0"/>
        <v>10.5</v>
      </c>
      <c r="R17" s="121"/>
      <c r="S17" s="121"/>
      <c r="T17" s="121"/>
      <c r="U17" s="121"/>
    </row>
    <row r="18" spans="1:21" ht="28.9">
      <c r="A18" s="45" t="s">
        <v>1042</v>
      </c>
      <c r="B18" s="82"/>
      <c r="C18" s="18"/>
      <c r="D18" s="82" t="s">
        <v>1043</v>
      </c>
      <c r="E18" s="18">
        <v>5</v>
      </c>
      <c r="F18" s="82" t="s">
        <v>1044</v>
      </c>
      <c r="G18" s="18">
        <v>5</v>
      </c>
      <c r="H18" s="85" t="s">
        <v>1045</v>
      </c>
      <c r="I18" s="18">
        <v>5</v>
      </c>
      <c r="J18" s="82"/>
      <c r="K18" s="18"/>
      <c r="L18" s="268"/>
      <c r="M18" s="18"/>
      <c r="N18" s="18"/>
      <c r="O18" s="18"/>
      <c r="P18" s="3">
        <f t="shared" si="0"/>
        <v>15</v>
      </c>
      <c r="R18" s="121"/>
      <c r="S18" s="121"/>
      <c r="T18" s="121"/>
      <c r="U18" s="121"/>
    </row>
    <row r="19" spans="1:21" ht="28.9">
      <c r="A19" s="45" t="s">
        <v>1046</v>
      </c>
      <c r="B19" s="82"/>
      <c r="C19" s="18"/>
      <c r="D19" s="82" t="s">
        <v>1043</v>
      </c>
      <c r="E19" s="18">
        <v>5</v>
      </c>
      <c r="F19" s="82" t="s">
        <v>1044</v>
      </c>
      <c r="G19" s="18">
        <v>5</v>
      </c>
      <c r="H19" s="269" t="s">
        <v>1047</v>
      </c>
      <c r="I19" s="18">
        <v>3</v>
      </c>
      <c r="J19" s="82" t="s">
        <v>1048</v>
      </c>
      <c r="K19" s="18">
        <v>9.5</v>
      </c>
      <c r="L19" s="268"/>
      <c r="M19" s="18"/>
      <c r="N19" s="18"/>
      <c r="O19" s="18"/>
      <c r="P19" s="3">
        <f t="shared" si="0"/>
        <v>22.5</v>
      </c>
      <c r="R19" s="121"/>
      <c r="S19" s="121"/>
      <c r="T19" s="121"/>
      <c r="U19" s="121"/>
    </row>
    <row r="20" spans="1:21">
      <c r="A20" s="52" t="s">
        <v>95</v>
      </c>
      <c r="B20" s="3"/>
      <c r="C20" s="3">
        <f>SUM(C7:C13)</f>
        <v>22.5</v>
      </c>
      <c r="D20" s="3"/>
      <c r="E20" s="3">
        <f>SUM(E6:E19)</f>
        <v>61.5</v>
      </c>
      <c r="F20" s="3"/>
      <c r="G20" s="3">
        <f>SUM(G6:G19)</f>
        <v>80</v>
      </c>
      <c r="H20" s="3"/>
      <c r="I20" s="3">
        <f>SUM(I6:I19)</f>
        <v>72</v>
      </c>
      <c r="J20" s="3"/>
      <c r="K20" s="3">
        <f>SUM(K6:K19)</f>
        <v>49.5</v>
      </c>
      <c r="L20" s="3"/>
      <c r="M20" s="3">
        <f>SUM(M6:M19)</f>
        <v>35</v>
      </c>
      <c r="N20" s="3"/>
      <c r="O20" s="3">
        <f>SUM(O6:O19)</f>
        <v>0</v>
      </c>
      <c r="P20" s="3">
        <f>SUM(O20,M20,K20,I20,G20,E20,C20)</f>
        <v>320.5</v>
      </c>
    </row>
    <row r="21" spans="1:21">
      <c r="C21">
        <f>C20*20</f>
        <v>450</v>
      </c>
      <c r="G21">
        <f>G20*20</f>
        <v>1600</v>
      </c>
      <c r="I21">
        <f>I20*20</f>
        <v>1440</v>
      </c>
      <c r="K21">
        <f>K20*20</f>
        <v>990</v>
      </c>
      <c r="M21">
        <f>M20*20</f>
        <v>700</v>
      </c>
    </row>
    <row r="23" spans="1:21" ht="15" thickBot="1">
      <c r="A23" s="264" t="s">
        <v>96</v>
      </c>
      <c r="B23" s="264"/>
      <c r="C23" s="117"/>
      <c r="D23" s="121"/>
    </row>
    <row r="24" spans="1:21" ht="18.600000000000001" thickBot="1">
      <c r="A24" s="145" t="s">
        <v>97</v>
      </c>
      <c r="D24" s="434" t="s">
        <v>98</v>
      </c>
      <c r="E24" s="435"/>
      <c r="F24" s="435"/>
      <c r="G24" s="435"/>
      <c r="H24" s="435"/>
      <c r="I24" s="435"/>
      <c r="J24" s="436"/>
    </row>
    <row r="25" spans="1:21" ht="18">
      <c r="A25" s="146" t="s">
        <v>99</v>
      </c>
      <c r="D25" s="174" t="s">
        <v>100</v>
      </c>
      <c r="E25" s="175"/>
      <c r="F25" s="175" t="s">
        <v>101</v>
      </c>
      <c r="G25" s="175"/>
      <c r="H25" s="175" t="s">
        <v>102</v>
      </c>
      <c r="I25" s="175"/>
      <c r="J25" s="176" t="s">
        <v>103</v>
      </c>
    </row>
    <row r="26" spans="1:21" ht="18.600000000000001" thickBot="1">
      <c r="A26" s="147" t="s">
        <v>104</v>
      </c>
      <c r="D26" s="177" t="s">
        <v>105</v>
      </c>
      <c r="E26" s="178"/>
      <c r="F26" s="178" t="s">
        <v>106</v>
      </c>
      <c r="G26" s="178"/>
      <c r="H26" s="178" t="s">
        <v>107</v>
      </c>
      <c r="I26" s="178"/>
      <c r="J26" s="179" t="s">
        <v>108</v>
      </c>
      <c r="Q26">
        <f>P20*20</f>
        <v>6410</v>
      </c>
    </row>
    <row r="27" spans="1:21" ht="18.600000000000001" thickBot="1">
      <c r="A27" s="148" t="s">
        <v>109</v>
      </c>
      <c r="D27" s="175" t="s">
        <v>110</v>
      </c>
      <c r="E27" s="175"/>
      <c r="F27" s="175"/>
      <c r="G27" s="175"/>
      <c r="H27" s="175"/>
      <c r="I27" s="175"/>
      <c r="J27" s="175"/>
    </row>
    <row r="28" spans="1:21" ht="18.600000000000001" thickBot="1">
      <c r="A28" s="149" t="s">
        <v>111</v>
      </c>
      <c r="D28" s="434" t="s">
        <v>112</v>
      </c>
      <c r="E28" s="435"/>
      <c r="F28" s="435"/>
      <c r="G28" s="435"/>
      <c r="H28" s="435"/>
      <c r="I28" s="435"/>
      <c r="J28" s="436"/>
    </row>
    <row r="29" spans="1:21" ht="18">
      <c r="A29" s="150" t="s">
        <v>113</v>
      </c>
      <c r="D29" s="437" t="s">
        <v>114</v>
      </c>
      <c r="E29" s="438"/>
      <c r="F29" s="438"/>
      <c r="G29" s="438"/>
      <c r="H29" s="438"/>
      <c r="I29" s="438"/>
      <c r="J29" s="439"/>
    </row>
    <row r="30" spans="1:21" ht="18">
      <c r="A30" s="151" t="s">
        <v>115</v>
      </c>
      <c r="D30" s="437" t="s">
        <v>116</v>
      </c>
      <c r="E30" s="438"/>
      <c r="F30" s="438"/>
      <c r="G30" s="438"/>
      <c r="H30" s="438"/>
      <c r="I30" s="438"/>
      <c r="J30" s="439"/>
    </row>
    <row r="31" spans="1:21" ht="18">
      <c r="A31" s="152" t="s">
        <v>117</v>
      </c>
      <c r="D31" s="437" t="s">
        <v>118</v>
      </c>
      <c r="E31" s="438"/>
      <c r="F31" s="438"/>
      <c r="G31" s="438"/>
      <c r="H31" s="438"/>
      <c r="I31" s="438"/>
      <c r="J31" s="439"/>
      <c r="T31" t="s">
        <v>110</v>
      </c>
    </row>
    <row r="32" spans="1:21" ht="15" thickBot="1">
      <c r="D32" s="431" t="s">
        <v>119</v>
      </c>
      <c r="E32" s="432"/>
      <c r="F32" s="432"/>
      <c r="G32" s="432"/>
      <c r="H32" s="432"/>
      <c r="I32" s="432"/>
      <c r="J32" s="433"/>
    </row>
  </sheetData>
  <mergeCells count="6">
    <mergeCell ref="D32:J32"/>
    <mergeCell ref="D24:J24"/>
    <mergeCell ref="D28:J28"/>
    <mergeCell ref="D29:J29"/>
    <mergeCell ref="D30:J30"/>
    <mergeCell ref="D31:J3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47DA-BC82-4A5A-84E1-7DBA89B01303}">
  <sheetPr>
    <tabColor theme="9"/>
  </sheetPr>
  <dimension ref="A1:U32"/>
  <sheetViews>
    <sheetView zoomScale="70" zoomScaleNormal="70" workbookViewId="0">
      <selection activeCell="M5" sqref="M5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6.710937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46069</v>
      </c>
      <c r="C2" s="6"/>
      <c r="D2" s="5">
        <v>46070</v>
      </c>
      <c r="E2" s="6"/>
      <c r="F2" s="5">
        <v>46071</v>
      </c>
      <c r="G2" s="6"/>
      <c r="H2" s="5">
        <v>46072</v>
      </c>
      <c r="I2" s="6"/>
      <c r="J2" s="5">
        <v>46073</v>
      </c>
      <c r="K2" s="6"/>
      <c r="L2" s="5">
        <v>46074</v>
      </c>
      <c r="M2" s="6"/>
      <c r="N2" s="5">
        <v>46075</v>
      </c>
      <c r="O2" s="7"/>
      <c r="P2" s="3"/>
    </row>
    <row r="3" spans="1:21" ht="63" customHeight="1">
      <c r="A3" s="8" t="s">
        <v>9</v>
      </c>
      <c r="B3" s="282" t="s">
        <v>1049</v>
      </c>
      <c r="C3" s="10"/>
      <c r="D3" s="9" t="s">
        <v>1050</v>
      </c>
      <c r="E3" s="10"/>
      <c r="F3" s="9" t="s">
        <v>1051</v>
      </c>
      <c r="G3" s="11"/>
      <c r="H3" s="288" t="s">
        <v>1052</v>
      </c>
      <c r="I3" s="10"/>
      <c r="J3" s="285" t="s">
        <v>1053</v>
      </c>
      <c r="K3" s="10"/>
      <c r="L3" s="9" t="s">
        <v>1054</v>
      </c>
      <c r="M3" s="13"/>
      <c r="N3" s="9"/>
      <c r="O3" s="15"/>
      <c r="P3" s="3"/>
    </row>
    <row r="4" spans="1:21">
      <c r="A4" s="82" t="s">
        <v>14</v>
      </c>
      <c r="B4" s="18"/>
      <c r="C4" s="18">
        <v>8</v>
      </c>
      <c r="D4" s="18" t="s">
        <v>1055</v>
      </c>
      <c r="E4" s="18">
        <v>10.5</v>
      </c>
      <c r="F4" s="18" t="s">
        <v>1056</v>
      </c>
      <c r="G4" s="18">
        <v>9.5</v>
      </c>
      <c r="H4" s="18" t="s">
        <v>853</v>
      </c>
      <c r="I4" s="18">
        <v>9</v>
      </c>
      <c r="J4" s="18" t="s">
        <v>1057</v>
      </c>
      <c r="K4" s="18">
        <v>5.5</v>
      </c>
      <c r="L4" s="289" t="s">
        <v>1058</v>
      </c>
      <c r="M4" s="18">
        <v>4</v>
      </c>
      <c r="N4" s="18" t="s">
        <v>17</v>
      </c>
      <c r="O4" s="18"/>
      <c r="P4" s="3">
        <f t="shared" ref="P4:P19" si="0">SUM(O4,M4,K4,I4,G4,E4,C4)</f>
        <v>46.5</v>
      </c>
    </row>
    <row r="5" spans="1:21">
      <c r="A5" s="45" t="s">
        <v>18</v>
      </c>
      <c r="B5" s="18"/>
      <c r="C5" s="18">
        <v>8</v>
      </c>
      <c r="D5" s="18" t="s">
        <v>1059</v>
      </c>
      <c r="E5" s="18">
        <v>9.5</v>
      </c>
      <c r="F5" s="18" t="s">
        <v>1060</v>
      </c>
      <c r="G5" s="18">
        <v>10</v>
      </c>
      <c r="H5" s="18" t="s">
        <v>998</v>
      </c>
      <c r="I5" s="18">
        <v>10</v>
      </c>
      <c r="J5" s="18" t="s">
        <v>1061</v>
      </c>
      <c r="K5" s="18">
        <v>3</v>
      </c>
      <c r="L5" s="289"/>
      <c r="M5" s="18"/>
      <c r="N5" s="18" t="s">
        <v>17</v>
      </c>
      <c r="O5" s="18"/>
      <c r="P5" s="3">
        <f t="shared" si="0"/>
        <v>40.5</v>
      </c>
    </row>
    <row r="6" spans="1:21" ht="43.15">
      <c r="A6" s="163" t="s">
        <v>214</v>
      </c>
      <c r="B6" s="290"/>
      <c r="C6" s="48"/>
      <c r="D6" s="45" t="s">
        <v>1062</v>
      </c>
      <c r="E6" s="48">
        <v>4.5</v>
      </c>
      <c r="F6" s="50" t="s">
        <v>1063</v>
      </c>
      <c r="G6" s="48">
        <v>7.5</v>
      </c>
      <c r="H6" s="129"/>
      <c r="I6" s="48"/>
      <c r="J6" s="56" t="s">
        <v>1064</v>
      </c>
      <c r="K6" s="48">
        <v>7.5</v>
      </c>
      <c r="L6" s="45" t="s">
        <v>1065</v>
      </c>
      <c r="M6" s="48">
        <v>7</v>
      </c>
      <c r="N6" s="18" t="s">
        <v>17</v>
      </c>
      <c r="O6" s="18"/>
      <c r="P6" s="3">
        <f>SUM(O6,M6,K6,I6,G6,E6,C6)</f>
        <v>26.5</v>
      </c>
    </row>
    <row r="7" spans="1:21">
      <c r="A7" s="163" t="s">
        <v>694</v>
      </c>
      <c r="B7" s="42"/>
      <c r="C7" s="48"/>
      <c r="D7" s="48" t="s">
        <v>1066</v>
      </c>
      <c r="E7" s="48">
        <v>7.75</v>
      </c>
      <c r="F7" s="155" t="s">
        <v>1067</v>
      </c>
      <c r="G7" s="48">
        <v>4.25</v>
      </c>
      <c r="H7" s="155" t="s">
        <v>1067</v>
      </c>
      <c r="I7" s="48">
        <v>4.25</v>
      </c>
      <c r="J7" s="51" t="s">
        <v>1068</v>
      </c>
      <c r="K7" s="48">
        <v>7.75</v>
      </c>
      <c r="L7" s="38"/>
      <c r="M7" s="47"/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1">
      <c r="A8" s="128" t="s">
        <v>698</v>
      </c>
      <c r="B8" s="42"/>
      <c r="C8" s="48"/>
      <c r="D8" s="153" t="s">
        <v>1069</v>
      </c>
      <c r="E8" s="48">
        <v>7</v>
      </c>
      <c r="F8" s="45" t="s">
        <v>1070</v>
      </c>
      <c r="G8" s="48">
        <v>9.5</v>
      </c>
      <c r="H8" s="38"/>
      <c r="I8" s="48"/>
      <c r="J8" s="30" t="s">
        <v>1071</v>
      </c>
      <c r="K8" s="48">
        <v>7</v>
      </c>
      <c r="L8" s="45"/>
      <c r="M8" s="48"/>
      <c r="N8" s="18" t="s">
        <v>17</v>
      </c>
      <c r="O8" s="18"/>
      <c r="P8" s="3">
        <f t="shared" si="0"/>
        <v>23.5</v>
      </c>
      <c r="R8" s="121"/>
      <c r="S8" s="121"/>
      <c r="T8" s="260"/>
      <c r="U8" s="121" t="s">
        <v>39</v>
      </c>
    </row>
    <row r="9" spans="1:21" ht="43.15">
      <c r="A9" s="128" t="s">
        <v>701</v>
      </c>
      <c r="B9" s="42"/>
      <c r="C9" s="48"/>
      <c r="D9" s="81" t="s">
        <v>1072</v>
      </c>
      <c r="E9" s="48">
        <v>4.5</v>
      </c>
      <c r="F9" s="38"/>
      <c r="G9" s="48"/>
      <c r="H9" s="81" t="s">
        <v>1072</v>
      </c>
      <c r="I9" s="48">
        <v>4.5</v>
      </c>
      <c r="J9" s="81" t="s">
        <v>1073</v>
      </c>
      <c r="K9" s="48">
        <v>5</v>
      </c>
      <c r="L9" s="45" t="s">
        <v>1074</v>
      </c>
      <c r="M9" s="48">
        <v>9.5</v>
      </c>
      <c r="N9" s="18" t="s">
        <v>17</v>
      </c>
      <c r="O9" s="18"/>
      <c r="P9" s="3">
        <f t="shared" si="0"/>
        <v>23.5</v>
      </c>
      <c r="R9" s="121"/>
      <c r="S9" s="121"/>
      <c r="T9" s="260"/>
      <c r="U9" s="121" t="s">
        <v>45</v>
      </c>
    </row>
    <row r="10" spans="1:21" ht="28.9">
      <c r="A10" s="128" t="s">
        <v>704</v>
      </c>
      <c r="B10" s="42"/>
      <c r="C10" s="48"/>
      <c r="D10" s="38"/>
      <c r="E10" s="48"/>
      <c r="F10" s="50" t="s">
        <v>1075</v>
      </c>
      <c r="G10" s="48">
        <v>6</v>
      </c>
      <c r="H10" s="48" t="s">
        <v>1076</v>
      </c>
      <c r="I10" s="48">
        <v>9</v>
      </c>
      <c r="J10" s="48" t="s">
        <v>1077</v>
      </c>
      <c r="K10" s="48">
        <v>3.5</v>
      </c>
      <c r="L10" s="48" t="s">
        <v>1078</v>
      </c>
      <c r="M10" s="48">
        <v>7.5</v>
      </c>
      <c r="N10" s="18" t="s">
        <v>17</v>
      </c>
      <c r="O10" s="18"/>
      <c r="P10" s="3">
        <f>SUM(O10,M10,K10,I10,G10,E10,C10)</f>
        <v>26</v>
      </c>
      <c r="R10" s="121"/>
      <c r="S10" s="121"/>
      <c r="T10" s="121"/>
      <c r="U10" s="121" t="s">
        <v>50</v>
      </c>
    </row>
    <row r="11" spans="1:21" ht="43.15">
      <c r="A11" s="163" t="s">
        <v>710</v>
      </c>
      <c r="B11" s="291"/>
      <c r="C11" s="48"/>
      <c r="D11" s="45" t="s">
        <v>1079</v>
      </c>
      <c r="E11" s="48">
        <v>5</v>
      </c>
      <c r="F11" s="50" t="s">
        <v>1080</v>
      </c>
      <c r="G11" s="48">
        <v>7.5</v>
      </c>
      <c r="H11" s="56" t="s">
        <v>1081</v>
      </c>
      <c r="I11" s="48">
        <v>8.5</v>
      </c>
      <c r="J11" s="45" t="s">
        <v>1082</v>
      </c>
      <c r="K11" s="48">
        <v>4</v>
      </c>
      <c r="L11" s="56" t="s">
        <v>1083</v>
      </c>
      <c r="M11" s="48">
        <v>8.5</v>
      </c>
      <c r="N11" s="18" t="s">
        <v>17</v>
      </c>
      <c r="O11" s="18"/>
      <c r="P11" s="3">
        <f t="shared" ref="P11:P12" si="1">SUM(O11,M11,K11,I11,G11,E11,C11)</f>
        <v>33.5</v>
      </c>
      <c r="R11" s="121"/>
      <c r="S11" s="121"/>
      <c r="T11" s="121"/>
      <c r="U11" s="121" t="s">
        <v>601</v>
      </c>
    </row>
    <row r="12" spans="1:21" ht="28.9">
      <c r="A12" s="163" t="s">
        <v>712</v>
      </c>
      <c r="B12" s="291"/>
      <c r="C12" s="48"/>
      <c r="D12" s="56" t="s">
        <v>1084</v>
      </c>
      <c r="E12" s="48">
        <v>7.5</v>
      </c>
      <c r="F12" s="56" t="s">
        <v>1085</v>
      </c>
      <c r="G12" s="48">
        <v>9.5</v>
      </c>
      <c r="H12" s="45" t="s">
        <v>1086</v>
      </c>
      <c r="I12" s="48">
        <v>4</v>
      </c>
      <c r="J12" s="38"/>
      <c r="K12" s="48"/>
      <c r="L12" s="56" t="s">
        <v>1087</v>
      </c>
      <c r="M12" s="48">
        <v>7.5</v>
      </c>
      <c r="N12" s="18" t="s">
        <v>17</v>
      </c>
      <c r="O12" s="18"/>
      <c r="P12" s="3">
        <f t="shared" si="1"/>
        <v>28.5</v>
      </c>
      <c r="R12" s="121"/>
      <c r="S12" s="121"/>
      <c r="T12" s="121"/>
      <c r="U12" s="121" t="s">
        <v>58</v>
      </c>
    </row>
    <row r="13" spans="1:21" ht="72">
      <c r="A13" s="60" t="s">
        <v>716</v>
      </c>
      <c r="B13" s="292"/>
      <c r="C13" s="18"/>
      <c r="D13" s="56" t="s">
        <v>1088</v>
      </c>
      <c r="E13" s="48">
        <v>7.5</v>
      </c>
      <c r="F13" s="45" t="s">
        <v>1089</v>
      </c>
      <c r="G13" s="48">
        <v>7</v>
      </c>
      <c r="H13" s="82"/>
      <c r="I13" s="18"/>
      <c r="J13" s="56" t="s">
        <v>1085</v>
      </c>
      <c r="K13" s="48">
        <v>9.5</v>
      </c>
      <c r="L13" s="48" t="s">
        <v>1090</v>
      </c>
      <c r="M13" s="48">
        <v>7.5</v>
      </c>
      <c r="N13" s="18" t="s">
        <v>17</v>
      </c>
      <c r="O13" s="18"/>
      <c r="P13" s="3">
        <f t="shared" si="0"/>
        <v>31.5</v>
      </c>
      <c r="R13" s="121"/>
      <c r="S13" s="121"/>
      <c r="T13" s="121"/>
      <c r="U13" s="121"/>
    </row>
    <row r="14" spans="1:21" ht="28.9">
      <c r="A14" s="163" t="s">
        <v>719</v>
      </c>
      <c r="B14" s="290"/>
      <c r="C14" s="48"/>
      <c r="D14" s="45" t="s">
        <v>1091</v>
      </c>
      <c r="E14" s="48">
        <v>7.5</v>
      </c>
      <c r="F14" s="50" t="s">
        <v>1092</v>
      </c>
      <c r="G14" s="48">
        <v>9.5</v>
      </c>
      <c r="H14" s="155" t="s">
        <v>1093</v>
      </c>
      <c r="I14" s="48">
        <v>4</v>
      </c>
      <c r="J14" s="45" t="s">
        <v>934</v>
      </c>
      <c r="K14" s="48">
        <v>5</v>
      </c>
      <c r="L14" s="50" t="s">
        <v>1094</v>
      </c>
      <c r="M14" s="48">
        <v>5</v>
      </c>
      <c r="N14" s="18" t="s">
        <v>17</v>
      </c>
      <c r="O14" s="18"/>
      <c r="P14" s="3">
        <f t="shared" si="0"/>
        <v>31</v>
      </c>
      <c r="R14" s="121"/>
      <c r="S14" s="121"/>
      <c r="T14" s="121"/>
      <c r="U14" s="121"/>
    </row>
    <row r="15" spans="1:21">
      <c r="A15" s="163" t="s">
        <v>725</v>
      </c>
      <c r="B15" s="291"/>
      <c r="C15" s="48"/>
      <c r="D15" s="283"/>
      <c r="E15" s="48"/>
      <c r="F15" s="56" t="s">
        <v>1095</v>
      </c>
      <c r="G15" s="48">
        <v>7.5</v>
      </c>
      <c r="H15" s="56" t="s">
        <v>1096</v>
      </c>
      <c r="I15" s="48">
        <v>7.5</v>
      </c>
      <c r="J15" s="56" t="s">
        <v>1097</v>
      </c>
      <c r="K15" s="48">
        <v>9.5</v>
      </c>
      <c r="L15" s="273"/>
      <c r="M15" s="48"/>
      <c r="N15" s="18" t="s">
        <v>17</v>
      </c>
      <c r="O15" s="18"/>
      <c r="P15" s="3">
        <f t="shared" si="0"/>
        <v>24.5</v>
      </c>
      <c r="R15" s="121"/>
      <c r="S15" s="121"/>
      <c r="T15" s="121"/>
      <c r="U15" s="121"/>
    </row>
    <row r="16" spans="1:21" ht="28.9">
      <c r="A16" s="45" t="s">
        <v>730</v>
      </c>
      <c r="B16" s="290"/>
      <c r="C16" s="48"/>
      <c r="D16" s="45" t="s">
        <v>1098</v>
      </c>
      <c r="E16" s="48">
        <v>10</v>
      </c>
      <c r="F16" s="45" t="s">
        <v>1099</v>
      </c>
      <c r="G16" s="48">
        <v>9.5</v>
      </c>
      <c r="H16" s="45" t="s">
        <v>1099</v>
      </c>
      <c r="I16" s="48">
        <v>9.5</v>
      </c>
      <c r="J16" s="141"/>
      <c r="K16" s="18"/>
      <c r="L16" s="45"/>
      <c r="M16" s="48"/>
      <c r="N16" s="18" t="s">
        <v>17</v>
      </c>
      <c r="O16" s="18"/>
      <c r="P16" s="3">
        <f t="shared" si="0"/>
        <v>29</v>
      </c>
      <c r="R16" s="121"/>
      <c r="S16" s="121"/>
      <c r="T16" s="121"/>
      <c r="U16" s="121"/>
    </row>
    <row r="17" spans="1:21">
      <c r="A17" s="45" t="s">
        <v>1040</v>
      </c>
      <c r="B17" s="290"/>
      <c r="C17" s="48"/>
      <c r="D17" s="69"/>
      <c r="E17" s="48"/>
      <c r="F17" s="45" t="s">
        <v>1100</v>
      </c>
      <c r="G17" s="48">
        <v>3.5</v>
      </c>
      <c r="H17" s="293" t="s">
        <v>1101</v>
      </c>
      <c r="I17" s="48">
        <v>4.5</v>
      </c>
      <c r="J17" s="141"/>
      <c r="K17" s="18"/>
      <c r="L17" s="45" t="s">
        <v>26</v>
      </c>
      <c r="M17" s="48"/>
      <c r="N17" s="18" t="s">
        <v>17</v>
      </c>
      <c r="O17" s="18"/>
      <c r="P17" s="3">
        <f t="shared" si="0"/>
        <v>8</v>
      </c>
      <c r="R17" s="121"/>
      <c r="S17" s="121"/>
      <c r="T17" s="121"/>
      <c r="U17" s="121"/>
    </row>
    <row r="18" spans="1:21">
      <c r="A18" s="45" t="s">
        <v>1102</v>
      </c>
      <c r="B18" s="292"/>
      <c r="C18" s="18"/>
      <c r="D18" s="82" t="s">
        <v>1103</v>
      </c>
      <c r="E18" s="18">
        <v>7.5</v>
      </c>
      <c r="F18" s="50" t="s">
        <v>1104</v>
      </c>
      <c r="G18" s="18">
        <v>8.5</v>
      </c>
      <c r="H18" s="85"/>
      <c r="I18" s="18"/>
      <c r="J18" s="82"/>
      <c r="K18" s="18"/>
      <c r="L18" s="268"/>
      <c r="M18" s="18"/>
      <c r="N18" s="18" t="s">
        <v>17</v>
      </c>
      <c r="O18" s="18"/>
      <c r="P18" s="3">
        <f t="shared" si="0"/>
        <v>16</v>
      </c>
      <c r="R18" s="121"/>
      <c r="S18" s="121"/>
      <c r="T18" s="121"/>
      <c r="U18" s="121"/>
    </row>
    <row r="19" spans="1:21" ht="28.9">
      <c r="A19" s="45" t="s">
        <v>1105</v>
      </c>
      <c r="B19" s="292"/>
      <c r="C19" s="18"/>
      <c r="D19" s="82" t="s">
        <v>1106</v>
      </c>
      <c r="E19" s="18">
        <v>3.5</v>
      </c>
      <c r="F19" s="50" t="s">
        <v>1107</v>
      </c>
      <c r="G19" s="18">
        <v>8.5</v>
      </c>
      <c r="H19" s="269" t="s">
        <v>1108</v>
      </c>
      <c r="I19" s="18">
        <v>3</v>
      </c>
      <c r="J19" s="141"/>
      <c r="K19" s="18"/>
      <c r="L19" s="268"/>
      <c r="M19" s="18"/>
      <c r="N19" s="18" t="s">
        <v>17</v>
      </c>
      <c r="O19" s="18"/>
      <c r="P19" s="3">
        <f t="shared" si="0"/>
        <v>15</v>
      </c>
      <c r="R19" s="121"/>
      <c r="S19" s="121"/>
      <c r="T19" s="121"/>
      <c r="U19" s="121"/>
    </row>
    <row r="20" spans="1:21">
      <c r="A20" s="52" t="s">
        <v>95</v>
      </c>
      <c r="B20" s="3"/>
      <c r="C20" s="3">
        <f>SUM(C7:C13)</f>
        <v>0</v>
      </c>
      <c r="D20" s="3"/>
      <c r="E20" s="3">
        <f>SUM(E6:E19)</f>
        <v>72.25</v>
      </c>
      <c r="F20" s="3"/>
      <c r="G20" s="3">
        <f>SUM(G6:G19)</f>
        <v>98.25</v>
      </c>
      <c r="H20" s="3"/>
      <c r="I20" s="3">
        <f>SUM(I6:I19)</f>
        <v>58.75</v>
      </c>
      <c r="J20" s="3"/>
      <c r="K20" s="3">
        <f>SUM(K6:K19)</f>
        <v>58.75</v>
      </c>
      <c r="L20" s="3"/>
      <c r="M20" s="3">
        <f>SUM(M6:M19)</f>
        <v>52.5</v>
      </c>
      <c r="N20" s="3"/>
      <c r="O20" s="3">
        <f>SUM(O6:O19)</f>
        <v>0</v>
      </c>
      <c r="P20" s="3">
        <f>SUM(O20,M20,K20,I20,G20,E20,C20)</f>
        <v>340.5</v>
      </c>
    </row>
    <row r="21" spans="1:21">
      <c r="C21">
        <f>C20*20</f>
        <v>0</v>
      </c>
      <c r="G21">
        <f>G20*20</f>
        <v>1965</v>
      </c>
      <c r="I21">
        <f>I20*20</f>
        <v>1175</v>
      </c>
      <c r="K21">
        <f>K20*20</f>
        <v>1175</v>
      </c>
      <c r="M21">
        <f>M20*20</f>
        <v>1050</v>
      </c>
    </row>
    <row r="23" spans="1:21" ht="15" thickBot="1">
      <c r="A23" s="264" t="s">
        <v>96</v>
      </c>
      <c r="B23" s="264"/>
      <c r="C23" s="117"/>
      <c r="D23" s="121"/>
    </row>
    <row r="24" spans="1:21" ht="18.600000000000001" thickBot="1">
      <c r="A24" s="145" t="s">
        <v>97</v>
      </c>
      <c r="D24" s="434" t="s">
        <v>98</v>
      </c>
      <c r="E24" s="435"/>
      <c r="F24" s="435"/>
      <c r="G24" s="435"/>
      <c r="H24" s="435"/>
      <c r="I24" s="435"/>
      <c r="J24" s="436"/>
    </row>
    <row r="25" spans="1:21" ht="18">
      <c r="A25" s="146" t="s">
        <v>99</v>
      </c>
      <c r="D25" s="174" t="s">
        <v>100</v>
      </c>
      <c r="E25" s="175"/>
      <c r="F25" s="175" t="s">
        <v>101</v>
      </c>
      <c r="G25" s="175"/>
      <c r="H25" s="175" t="s">
        <v>102</v>
      </c>
      <c r="I25" s="175"/>
      <c r="J25" s="176" t="s">
        <v>103</v>
      </c>
    </row>
    <row r="26" spans="1:21" ht="18.600000000000001" thickBot="1">
      <c r="A26" s="147" t="s">
        <v>104</v>
      </c>
      <c r="D26" s="177" t="s">
        <v>105</v>
      </c>
      <c r="E26" s="178"/>
      <c r="F26" s="178" t="s">
        <v>106</v>
      </c>
      <c r="G26" s="178"/>
      <c r="H26" s="178" t="s">
        <v>107</v>
      </c>
      <c r="I26" s="178"/>
      <c r="J26" s="179" t="s">
        <v>108</v>
      </c>
      <c r="Q26">
        <f>P20*20</f>
        <v>6810</v>
      </c>
    </row>
    <row r="27" spans="1:21" ht="18.600000000000001" thickBot="1">
      <c r="A27" s="148" t="s">
        <v>109</v>
      </c>
      <c r="D27" s="175" t="s">
        <v>110</v>
      </c>
      <c r="E27" s="175"/>
      <c r="F27" s="175"/>
      <c r="G27" s="175"/>
      <c r="H27" s="175"/>
      <c r="I27" s="175"/>
      <c r="J27" s="175"/>
    </row>
    <row r="28" spans="1:21" ht="18.600000000000001" thickBot="1">
      <c r="A28" s="149" t="s">
        <v>111</v>
      </c>
      <c r="D28" s="434" t="s">
        <v>112</v>
      </c>
      <c r="E28" s="435"/>
      <c r="F28" s="435"/>
      <c r="G28" s="435"/>
      <c r="H28" s="435"/>
      <c r="I28" s="435"/>
      <c r="J28" s="436"/>
    </row>
    <row r="29" spans="1:21" ht="18">
      <c r="A29" s="150" t="s">
        <v>113</v>
      </c>
      <c r="D29" s="437" t="s">
        <v>114</v>
      </c>
      <c r="E29" s="438"/>
      <c r="F29" s="438"/>
      <c r="G29" s="438"/>
      <c r="H29" s="438"/>
      <c r="I29" s="438"/>
      <c r="J29" s="439"/>
    </row>
    <row r="30" spans="1:21" ht="18">
      <c r="A30" s="151" t="s">
        <v>115</v>
      </c>
      <c r="D30" s="437" t="s">
        <v>116</v>
      </c>
      <c r="E30" s="438"/>
      <c r="F30" s="438"/>
      <c r="G30" s="438"/>
      <c r="H30" s="438"/>
      <c r="I30" s="438"/>
      <c r="J30" s="439"/>
    </row>
    <row r="31" spans="1:21" ht="18">
      <c r="A31" s="152" t="s">
        <v>117</v>
      </c>
      <c r="D31" s="437" t="s">
        <v>118</v>
      </c>
      <c r="E31" s="438"/>
      <c r="F31" s="438"/>
      <c r="G31" s="438"/>
      <c r="H31" s="438"/>
      <c r="I31" s="438"/>
      <c r="J31" s="439"/>
      <c r="T31" t="s">
        <v>110</v>
      </c>
    </row>
    <row r="32" spans="1:21" ht="15" thickBot="1">
      <c r="D32" s="431" t="s">
        <v>119</v>
      </c>
      <c r="E32" s="432"/>
      <c r="F32" s="432"/>
      <c r="G32" s="432"/>
      <c r="H32" s="432"/>
      <c r="I32" s="432"/>
      <c r="J32" s="433"/>
    </row>
  </sheetData>
  <mergeCells count="6">
    <mergeCell ref="D32:J32"/>
    <mergeCell ref="D24:J24"/>
    <mergeCell ref="D28:J28"/>
    <mergeCell ref="D29:J29"/>
    <mergeCell ref="D30:J30"/>
    <mergeCell ref="D31:J3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F4EE-8065-415A-AE50-7B8EE6C9C3DD}">
  <sheetPr>
    <tabColor theme="9"/>
  </sheetPr>
  <dimension ref="A1:U32"/>
  <sheetViews>
    <sheetView zoomScale="70" zoomScaleNormal="70" workbookViewId="0">
      <selection activeCell="J1" sqref="J1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46062</v>
      </c>
      <c r="C2" s="6"/>
      <c r="D2" s="5">
        <v>46063</v>
      </c>
      <c r="E2" s="6"/>
      <c r="F2" s="5">
        <v>46064</v>
      </c>
      <c r="G2" s="6"/>
      <c r="H2" s="5">
        <v>46065</v>
      </c>
      <c r="I2" s="6"/>
      <c r="J2" s="5">
        <v>46066</v>
      </c>
      <c r="K2" s="6"/>
      <c r="L2" s="5">
        <v>46067</v>
      </c>
      <c r="M2" s="6"/>
      <c r="N2" s="5">
        <v>46068</v>
      </c>
      <c r="O2" s="7"/>
      <c r="P2" s="3"/>
    </row>
    <row r="3" spans="1:21" ht="63" customHeight="1">
      <c r="A3" s="8" t="s">
        <v>9</v>
      </c>
      <c r="B3" s="282"/>
      <c r="C3" s="10"/>
      <c r="D3" s="62" t="s">
        <v>1109</v>
      </c>
      <c r="E3" s="10"/>
      <c r="F3" s="62" t="s">
        <v>1110</v>
      </c>
      <c r="G3" s="11"/>
      <c r="H3" s="286" t="s">
        <v>1111</v>
      </c>
      <c r="I3" s="10"/>
      <c r="J3" s="285" t="s">
        <v>1112</v>
      </c>
      <c r="K3" s="10"/>
      <c r="L3" s="9"/>
      <c r="M3" s="13"/>
      <c r="N3" s="9"/>
      <c r="O3" s="15"/>
      <c r="P3" s="3"/>
    </row>
    <row r="4" spans="1:21" ht="28.9">
      <c r="A4" s="16" t="s">
        <v>14</v>
      </c>
      <c r="B4" s="19" t="s">
        <v>1113</v>
      </c>
      <c r="C4" s="18">
        <v>9</v>
      </c>
      <c r="D4" s="19" t="s">
        <v>853</v>
      </c>
      <c r="E4" s="18">
        <v>9</v>
      </c>
      <c r="F4" s="19" t="s">
        <v>578</v>
      </c>
      <c r="G4" s="18">
        <v>9.5</v>
      </c>
      <c r="H4" s="19" t="s">
        <v>16</v>
      </c>
      <c r="I4" s="18">
        <v>8</v>
      </c>
      <c r="J4" s="19" t="s">
        <v>1114</v>
      </c>
      <c r="K4" s="18">
        <v>7</v>
      </c>
      <c r="L4" s="94" t="s">
        <v>17</v>
      </c>
      <c r="M4" s="18"/>
      <c r="N4" s="18" t="s">
        <v>17</v>
      </c>
      <c r="O4" s="18"/>
      <c r="P4" s="3">
        <f t="shared" ref="P4:P19" si="0">SUM(O4,M4,K4,I4,G4,E4,C4)</f>
        <v>42.5</v>
      </c>
    </row>
    <row r="5" spans="1:21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21" ht="43.15">
      <c r="A6" s="163" t="s">
        <v>214</v>
      </c>
      <c r="B6" s="33" t="s">
        <v>1115</v>
      </c>
      <c r="C6" s="48">
        <v>6.5</v>
      </c>
      <c r="D6" s="45" t="s">
        <v>1116</v>
      </c>
      <c r="E6" s="48">
        <v>4.5</v>
      </c>
      <c r="F6" s="56" t="s">
        <v>1117</v>
      </c>
      <c r="G6" s="48">
        <v>8</v>
      </c>
      <c r="H6" s="155" t="s">
        <v>1118</v>
      </c>
      <c r="I6" s="48">
        <v>4</v>
      </c>
      <c r="J6" s="50" t="s">
        <v>1119</v>
      </c>
      <c r="K6" s="48">
        <v>3</v>
      </c>
      <c r="L6" s="45" t="s">
        <v>1120</v>
      </c>
      <c r="M6" s="48">
        <v>10</v>
      </c>
      <c r="N6" s="18" t="s">
        <v>17</v>
      </c>
      <c r="O6" s="18"/>
      <c r="P6" s="3">
        <f>SUM(O6,M6,K6,I6,G6,E6,C6)</f>
        <v>36</v>
      </c>
    </row>
    <row r="7" spans="1:21" ht="28.9">
      <c r="A7" s="163" t="s">
        <v>694</v>
      </c>
      <c r="B7" s="48" t="s">
        <v>1121</v>
      </c>
      <c r="C7" s="48">
        <v>7.5</v>
      </c>
      <c r="D7" s="48" t="s">
        <v>1122</v>
      </c>
      <c r="E7" s="48">
        <v>7.5</v>
      </c>
      <c r="F7" s="155" t="s">
        <v>769</v>
      </c>
      <c r="G7" s="48">
        <v>4</v>
      </c>
      <c r="H7" s="155" t="s">
        <v>769</v>
      </c>
      <c r="I7" s="48">
        <v>4</v>
      </c>
      <c r="J7" s="56" t="s">
        <v>1123</v>
      </c>
      <c r="K7" s="48">
        <v>7.5</v>
      </c>
      <c r="L7" s="38"/>
      <c r="M7" s="47"/>
      <c r="N7" s="18" t="s">
        <v>17</v>
      </c>
      <c r="O7" s="18"/>
      <c r="P7" s="3">
        <f t="shared" si="0"/>
        <v>30.5</v>
      </c>
      <c r="R7" s="121" t="s">
        <v>31</v>
      </c>
      <c r="S7" s="121" t="s">
        <v>32</v>
      </c>
      <c r="T7" s="121" t="s">
        <v>33</v>
      </c>
      <c r="U7" s="121"/>
    </row>
    <row r="8" spans="1:21" ht="57.6">
      <c r="A8" s="128" t="s">
        <v>698</v>
      </c>
      <c r="B8" s="38"/>
      <c r="C8" s="48"/>
      <c r="D8" s="153" t="s">
        <v>1124</v>
      </c>
      <c r="E8" s="48">
        <v>6.5</v>
      </c>
      <c r="F8" s="48" t="s">
        <v>1125</v>
      </c>
      <c r="G8" s="48">
        <v>9.5</v>
      </c>
      <c r="H8" s="38"/>
      <c r="I8" s="48"/>
      <c r="J8" s="30" t="s">
        <v>1126</v>
      </c>
      <c r="K8" s="48">
        <v>7.5</v>
      </c>
      <c r="L8" s="45"/>
      <c r="M8" s="48"/>
      <c r="N8" s="18" t="s">
        <v>17</v>
      </c>
      <c r="O8" s="18"/>
      <c r="P8" s="3">
        <f t="shared" si="0"/>
        <v>23.5</v>
      </c>
      <c r="R8" s="121"/>
      <c r="S8" s="121"/>
      <c r="T8" s="260"/>
      <c r="U8" s="121" t="s">
        <v>39</v>
      </c>
    </row>
    <row r="9" spans="1:21" ht="28.9">
      <c r="A9" s="128" t="s">
        <v>701</v>
      </c>
      <c r="B9" s="38"/>
      <c r="C9" s="48"/>
      <c r="D9" s="81" t="s">
        <v>1127</v>
      </c>
      <c r="E9" s="48">
        <v>4</v>
      </c>
      <c r="F9" s="38"/>
      <c r="G9" s="48"/>
      <c r="H9" s="81" t="s">
        <v>589</v>
      </c>
      <c r="I9" s="48"/>
      <c r="J9" s="81" t="s">
        <v>589</v>
      </c>
      <c r="K9" s="48"/>
      <c r="L9" s="45" t="s">
        <v>1128</v>
      </c>
      <c r="M9" s="48">
        <v>8.5</v>
      </c>
      <c r="N9" s="18" t="s">
        <v>17</v>
      </c>
      <c r="O9" s="18"/>
      <c r="P9" s="3">
        <f t="shared" si="0"/>
        <v>12.5</v>
      </c>
      <c r="R9" s="121"/>
      <c r="S9" s="121"/>
      <c r="T9" s="260"/>
      <c r="U9" s="121" t="s">
        <v>45</v>
      </c>
    </row>
    <row r="10" spans="1:21" ht="43.15">
      <c r="A10" s="128" t="s">
        <v>704</v>
      </c>
      <c r="B10" s="48"/>
      <c r="C10" s="48"/>
      <c r="D10" s="38"/>
      <c r="E10" s="48"/>
      <c r="F10" s="45" t="s">
        <v>1129</v>
      </c>
      <c r="G10" s="48">
        <v>8.5</v>
      </c>
      <c r="H10" s="48" t="s">
        <v>1130</v>
      </c>
      <c r="I10" s="48">
        <v>4.5</v>
      </c>
      <c r="J10" s="48" t="s">
        <v>1131</v>
      </c>
      <c r="K10" s="48">
        <v>5.5</v>
      </c>
      <c r="L10" s="48" t="s">
        <v>1132</v>
      </c>
      <c r="M10" s="48">
        <v>4</v>
      </c>
      <c r="N10" s="18"/>
      <c r="O10" s="18"/>
      <c r="P10" s="3">
        <f>SUM(O10,M10,K10,I10,G10,E10,C10)</f>
        <v>22.5</v>
      </c>
      <c r="R10" s="121"/>
      <c r="S10" s="121"/>
      <c r="T10" s="121"/>
      <c r="U10" s="121" t="s">
        <v>50</v>
      </c>
    </row>
    <row r="11" spans="1:21" ht="28.9">
      <c r="A11" s="163" t="s">
        <v>710</v>
      </c>
      <c r="B11" s="56"/>
      <c r="C11" s="48"/>
      <c r="D11" s="45" t="s">
        <v>1133</v>
      </c>
      <c r="E11" s="48">
        <v>10</v>
      </c>
      <c r="F11" s="45"/>
      <c r="G11" s="48"/>
      <c r="H11" s="56" t="s">
        <v>1134</v>
      </c>
      <c r="I11" s="48">
        <v>9.5</v>
      </c>
      <c r="J11" s="45" t="s">
        <v>1135</v>
      </c>
      <c r="K11" s="48">
        <v>9.5</v>
      </c>
      <c r="L11" s="56"/>
      <c r="M11" s="48"/>
      <c r="N11" s="18" t="s">
        <v>17</v>
      </c>
      <c r="O11" s="18"/>
      <c r="P11" s="3">
        <f t="shared" ref="P11:P12" si="1">SUM(O11,M11,K11,I11,G11,E11,C11)</f>
        <v>29</v>
      </c>
      <c r="R11" s="121"/>
      <c r="S11" s="121"/>
      <c r="T11" s="121"/>
      <c r="U11" s="121" t="s">
        <v>601</v>
      </c>
    </row>
    <row r="12" spans="1:21" ht="28.9">
      <c r="A12" s="163" t="s">
        <v>712</v>
      </c>
      <c r="B12" s="56" t="s">
        <v>1136</v>
      </c>
      <c r="C12" s="48">
        <v>9.5</v>
      </c>
      <c r="D12" s="56" t="s">
        <v>1137</v>
      </c>
      <c r="E12" s="48">
        <v>9.5</v>
      </c>
      <c r="F12" s="56"/>
      <c r="G12" s="48"/>
      <c r="H12" s="56"/>
      <c r="I12" s="48"/>
      <c r="J12" s="56" t="s">
        <v>1138</v>
      </c>
      <c r="K12" s="48">
        <v>3</v>
      </c>
      <c r="L12" s="56" t="s">
        <v>1139</v>
      </c>
      <c r="M12" s="48">
        <v>7.5</v>
      </c>
      <c r="N12" s="18" t="s">
        <v>17</v>
      </c>
      <c r="O12" s="18"/>
      <c r="P12" s="3">
        <f t="shared" si="1"/>
        <v>29.5</v>
      </c>
      <c r="R12" s="121"/>
      <c r="S12" s="121"/>
      <c r="T12" s="121"/>
      <c r="U12" s="121" t="s">
        <v>58</v>
      </c>
    </row>
    <row r="13" spans="1:21" ht="28.9">
      <c r="A13" s="60" t="s">
        <v>716</v>
      </c>
      <c r="B13" s="82" t="s">
        <v>382</v>
      </c>
      <c r="C13" s="18">
        <v>9.5</v>
      </c>
      <c r="D13" s="56" t="s">
        <v>1140</v>
      </c>
      <c r="E13" s="48">
        <v>7.5</v>
      </c>
      <c r="F13" s="82"/>
      <c r="G13" s="18"/>
      <c r="H13" s="82" t="s">
        <v>1141</v>
      </c>
      <c r="I13" s="18">
        <v>8.5</v>
      </c>
      <c r="J13" s="48" t="s">
        <v>1142</v>
      </c>
      <c r="K13" s="48">
        <v>5</v>
      </c>
      <c r="L13" s="56"/>
      <c r="M13" s="48"/>
      <c r="N13" s="18"/>
      <c r="O13" s="18"/>
      <c r="P13" s="3">
        <f t="shared" si="0"/>
        <v>30.5</v>
      </c>
      <c r="R13" s="121"/>
      <c r="S13" s="121"/>
      <c r="T13" s="121"/>
      <c r="U13" s="121"/>
    </row>
    <row r="14" spans="1:21" ht="43.15">
      <c r="A14" s="163" t="s">
        <v>719</v>
      </c>
      <c r="B14" s="45" t="s">
        <v>1143</v>
      </c>
      <c r="C14" s="48">
        <v>6</v>
      </c>
      <c r="D14" s="45" t="s">
        <v>934</v>
      </c>
      <c r="E14" s="48">
        <v>5</v>
      </c>
      <c r="F14" s="48" t="s">
        <v>1144</v>
      </c>
      <c r="G14" s="48">
        <v>7</v>
      </c>
      <c r="H14" s="155"/>
      <c r="I14" s="48"/>
      <c r="J14" s="50" t="s">
        <v>1145</v>
      </c>
      <c r="K14" s="48">
        <v>3</v>
      </c>
      <c r="L14" s="56" t="s">
        <v>1146</v>
      </c>
      <c r="M14" s="48">
        <v>9.5</v>
      </c>
      <c r="N14" s="18" t="s">
        <v>17</v>
      </c>
      <c r="O14" s="18"/>
      <c r="P14" s="3">
        <f t="shared" si="0"/>
        <v>30.5</v>
      </c>
      <c r="R14" s="121"/>
      <c r="S14" s="121"/>
      <c r="T14" s="121"/>
      <c r="U14" s="121"/>
    </row>
    <row r="15" spans="1:21" ht="28.9">
      <c r="A15" s="163" t="s">
        <v>725</v>
      </c>
      <c r="B15" s="56" t="s">
        <v>1140</v>
      </c>
      <c r="C15" s="48">
        <v>7.5</v>
      </c>
      <c r="D15" s="283"/>
      <c r="E15" s="48"/>
      <c r="F15" s="56" t="s">
        <v>1147</v>
      </c>
      <c r="G15" s="48">
        <v>7.5</v>
      </c>
      <c r="H15" s="56" t="s">
        <v>779</v>
      </c>
      <c r="I15" s="48">
        <v>7.5</v>
      </c>
      <c r="J15" s="56" t="s">
        <v>1148</v>
      </c>
      <c r="K15" s="48">
        <v>7.5</v>
      </c>
      <c r="L15" s="273"/>
      <c r="M15" s="48"/>
      <c r="N15" s="18" t="s">
        <v>17</v>
      </c>
      <c r="O15" s="18"/>
      <c r="P15" s="3">
        <f t="shared" si="0"/>
        <v>30</v>
      </c>
      <c r="R15" s="121"/>
      <c r="S15" s="121"/>
      <c r="T15" s="121"/>
      <c r="U15" s="121"/>
    </row>
    <row r="16" spans="1:21" ht="28.9">
      <c r="A16" s="45" t="s">
        <v>730</v>
      </c>
      <c r="B16" s="45" t="s">
        <v>1149</v>
      </c>
      <c r="C16" s="48">
        <v>8.5</v>
      </c>
      <c r="D16" s="45"/>
      <c r="E16" s="48"/>
      <c r="F16" s="45"/>
      <c r="G16" s="48"/>
      <c r="H16" s="45" t="s">
        <v>1150</v>
      </c>
      <c r="I16" s="48">
        <v>10</v>
      </c>
      <c r="J16" s="141"/>
      <c r="K16" s="18"/>
      <c r="L16" s="45"/>
      <c r="M16" s="48"/>
      <c r="N16" s="18"/>
      <c r="O16" s="18"/>
      <c r="P16" s="3">
        <f t="shared" si="0"/>
        <v>18.5</v>
      </c>
      <c r="R16" s="121"/>
      <c r="S16" s="121"/>
      <c r="T16" s="121"/>
      <c r="U16" s="121"/>
    </row>
    <row r="17" spans="1:21" ht="28.9">
      <c r="A17" s="45" t="s">
        <v>1151</v>
      </c>
      <c r="B17" s="45" t="s">
        <v>1152</v>
      </c>
      <c r="C17" s="48">
        <v>3.5</v>
      </c>
      <c r="D17" s="69"/>
      <c r="E17" s="48"/>
      <c r="F17" s="45" t="s">
        <v>1153</v>
      </c>
      <c r="G17" s="48">
        <v>3.5</v>
      </c>
      <c r="H17" s="45" t="s">
        <v>1154</v>
      </c>
      <c r="I17" s="48">
        <v>3.5</v>
      </c>
      <c r="J17" s="141"/>
      <c r="K17" s="18"/>
      <c r="L17" s="45" t="s">
        <v>26</v>
      </c>
      <c r="M17" s="48"/>
      <c r="N17" s="18"/>
      <c r="O17" s="18"/>
      <c r="P17" s="3">
        <f t="shared" si="0"/>
        <v>10.5</v>
      </c>
      <c r="R17" s="121"/>
      <c r="S17" s="121"/>
      <c r="T17" s="121"/>
      <c r="U17" s="121"/>
    </row>
    <row r="18" spans="1:21" ht="28.9">
      <c r="A18" s="45" t="s">
        <v>1155</v>
      </c>
      <c r="B18" s="82"/>
      <c r="C18" s="18"/>
      <c r="D18" s="82" t="s">
        <v>1156</v>
      </c>
      <c r="E18" s="18">
        <v>5</v>
      </c>
      <c r="F18" s="82"/>
      <c r="G18" s="18"/>
      <c r="H18" s="85" t="s">
        <v>1157</v>
      </c>
      <c r="I18" s="18">
        <v>5.5</v>
      </c>
      <c r="J18" s="82" t="s">
        <v>1158</v>
      </c>
      <c r="K18" s="18">
        <v>5</v>
      </c>
      <c r="L18" s="268"/>
      <c r="M18" s="18"/>
      <c r="N18" s="18"/>
      <c r="O18" s="18"/>
      <c r="P18" s="3">
        <f t="shared" si="0"/>
        <v>15.5</v>
      </c>
      <c r="R18" s="121"/>
      <c r="S18" s="121"/>
      <c r="T18" s="121"/>
      <c r="U18" s="121"/>
    </row>
    <row r="19" spans="1:21">
      <c r="A19" s="45" t="s">
        <v>1159</v>
      </c>
      <c r="B19" s="82"/>
      <c r="C19" s="18"/>
      <c r="D19" s="82" t="s">
        <v>1160</v>
      </c>
      <c r="E19" s="18">
        <v>7</v>
      </c>
      <c r="F19" s="86" t="s">
        <v>1161</v>
      </c>
      <c r="G19" s="18">
        <v>5</v>
      </c>
      <c r="H19" s="269" t="s">
        <v>1162</v>
      </c>
      <c r="I19" s="18">
        <v>3</v>
      </c>
      <c r="J19" s="141"/>
      <c r="K19" s="18"/>
      <c r="L19" s="268"/>
      <c r="M19" s="18"/>
      <c r="N19" s="18"/>
      <c r="O19" s="18"/>
      <c r="P19" s="3">
        <f t="shared" si="0"/>
        <v>15</v>
      </c>
      <c r="R19" s="121"/>
      <c r="S19" s="121"/>
      <c r="T19" s="121"/>
      <c r="U19" s="121"/>
    </row>
    <row r="20" spans="1:21">
      <c r="A20" s="52" t="s">
        <v>95</v>
      </c>
      <c r="B20" s="3"/>
      <c r="C20" s="3">
        <f>SUM(C7:C13)</f>
        <v>26.5</v>
      </c>
      <c r="D20" s="3"/>
      <c r="E20" s="3">
        <f>SUM(E6:E19)</f>
        <v>66.5</v>
      </c>
      <c r="F20" s="3"/>
      <c r="G20" s="3">
        <f>SUM(G6:G19)</f>
        <v>53</v>
      </c>
      <c r="H20" s="3"/>
      <c r="I20" s="3">
        <f>SUM(I6:I19)</f>
        <v>60</v>
      </c>
      <c r="J20" s="3"/>
      <c r="K20" s="3">
        <f>SUM(K6:K19)</f>
        <v>56.5</v>
      </c>
      <c r="L20" s="3"/>
      <c r="M20" s="3">
        <f>SUM(M6:M19)</f>
        <v>39.5</v>
      </c>
      <c r="N20" s="3"/>
      <c r="O20" s="3">
        <f>SUM(O6:O19)</f>
        <v>0</v>
      </c>
      <c r="P20" s="3">
        <f>SUM(O20,M20,K20,I20,G20,E20,C20)</f>
        <v>302</v>
      </c>
    </row>
    <row r="21" spans="1:21">
      <c r="C21">
        <f>C20*20</f>
        <v>530</v>
      </c>
      <c r="G21">
        <f>G20*20</f>
        <v>1060</v>
      </c>
      <c r="I21">
        <f>I20*20</f>
        <v>1200</v>
      </c>
      <c r="K21">
        <f>K20*20</f>
        <v>1130</v>
      </c>
      <c r="M21">
        <f>M20*20</f>
        <v>790</v>
      </c>
    </row>
    <row r="23" spans="1:21" ht="15" thickBot="1">
      <c r="A23" s="264" t="s">
        <v>96</v>
      </c>
      <c r="B23" s="264"/>
      <c r="C23" s="117"/>
      <c r="D23" s="121"/>
    </row>
    <row r="24" spans="1:21" ht="18.600000000000001" thickBot="1">
      <c r="A24" s="145" t="s">
        <v>97</v>
      </c>
      <c r="D24" s="434" t="s">
        <v>98</v>
      </c>
      <c r="E24" s="435"/>
      <c r="F24" s="435"/>
      <c r="G24" s="435"/>
      <c r="H24" s="435"/>
      <c r="I24" s="435"/>
      <c r="J24" s="436"/>
    </row>
    <row r="25" spans="1:21" ht="18">
      <c r="A25" s="146" t="s">
        <v>99</v>
      </c>
      <c r="D25" s="174" t="s">
        <v>100</v>
      </c>
      <c r="E25" s="175"/>
      <c r="F25" s="175" t="s">
        <v>101</v>
      </c>
      <c r="G25" s="175"/>
      <c r="H25" s="175" t="s">
        <v>102</v>
      </c>
      <c r="I25" s="175"/>
      <c r="J25" s="176" t="s">
        <v>103</v>
      </c>
    </row>
    <row r="26" spans="1:21" ht="18.600000000000001" thickBot="1">
      <c r="A26" s="147" t="s">
        <v>104</v>
      </c>
      <c r="D26" s="177" t="s">
        <v>105</v>
      </c>
      <c r="E26" s="178"/>
      <c r="F26" s="178" t="s">
        <v>106</v>
      </c>
      <c r="G26" s="178"/>
      <c r="H26" s="178" t="s">
        <v>107</v>
      </c>
      <c r="I26" s="178"/>
      <c r="J26" s="179" t="s">
        <v>108</v>
      </c>
      <c r="Q26">
        <f>P20*20</f>
        <v>6040</v>
      </c>
    </row>
    <row r="27" spans="1:21" ht="18.600000000000001" thickBot="1">
      <c r="A27" s="148" t="s">
        <v>109</v>
      </c>
      <c r="D27" s="175" t="s">
        <v>110</v>
      </c>
      <c r="E27" s="175"/>
      <c r="F27" s="175"/>
      <c r="G27" s="175"/>
      <c r="H27" s="175"/>
      <c r="I27" s="175"/>
      <c r="J27" s="175"/>
    </row>
    <row r="28" spans="1:21" ht="18.600000000000001" thickBot="1">
      <c r="A28" s="149" t="s">
        <v>111</v>
      </c>
      <c r="D28" s="434" t="s">
        <v>112</v>
      </c>
      <c r="E28" s="435"/>
      <c r="F28" s="435"/>
      <c r="G28" s="435"/>
      <c r="H28" s="435"/>
      <c r="I28" s="435"/>
      <c r="J28" s="436"/>
    </row>
    <row r="29" spans="1:21" ht="18">
      <c r="A29" s="150" t="s">
        <v>113</v>
      </c>
      <c r="D29" s="437" t="s">
        <v>114</v>
      </c>
      <c r="E29" s="438"/>
      <c r="F29" s="438"/>
      <c r="G29" s="438"/>
      <c r="H29" s="438"/>
      <c r="I29" s="438"/>
      <c r="J29" s="439"/>
    </row>
    <row r="30" spans="1:21" ht="18">
      <c r="A30" s="151" t="s">
        <v>115</v>
      </c>
      <c r="D30" s="437" t="s">
        <v>116</v>
      </c>
      <c r="E30" s="438"/>
      <c r="F30" s="438"/>
      <c r="G30" s="438"/>
      <c r="H30" s="438"/>
      <c r="I30" s="438"/>
      <c r="J30" s="439"/>
    </row>
    <row r="31" spans="1:21" ht="18">
      <c r="A31" s="152" t="s">
        <v>117</v>
      </c>
      <c r="D31" s="437" t="s">
        <v>118</v>
      </c>
      <c r="E31" s="438"/>
      <c r="F31" s="438"/>
      <c r="G31" s="438"/>
      <c r="H31" s="438"/>
      <c r="I31" s="438"/>
      <c r="J31" s="439"/>
      <c r="T31" t="s">
        <v>110</v>
      </c>
    </row>
    <row r="32" spans="1:21" ht="15" thickBot="1">
      <c r="D32" s="431" t="s">
        <v>119</v>
      </c>
      <c r="E32" s="432"/>
      <c r="F32" s="432"/>
      <c r="G32" s="432"/>
      <c r="H32" s="432"/>
      <c r="I32" s="432"/>
      <c r="J32" s="433"/>
    </row>
  </sheetData>
  <mergeCells count="6">
    <mergeCell ref="D32:J32"/>
    <mergeCell ref="D24:J24"/>
    <mergeCell ref="D28:J28"/>
    <mergeCell ref="D29:J29"/>
    <mergeCell ref="D30:J30"/>
    <mergeCell ref="D31:J3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B39E-D26E-40A9-858D-FAD7FC03987A}">
  <sheetPr>
    <tabColor theme="9"/>
    <pageSetUpPr fitToPage="1"/>
  </sheetPr>
  <dimension ref="A1:U32"/>
  <sheetViews>
    <sheetView zoomScale="70" zoomScaleNormal="70" workbookViewId="0">
      <selection activeCell="J4" sqref="J4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46055</v>
      </c>
      <c r="C2" s="6"/>
      <c r="D2" s="5">
        <v>46056</v>
      </c>
      <c r="E2" s="6"/>
      <c r="F2" s="5">
        <v>46057</v>
      </c>
      <c r="G2" s="6"/>
      <c r="H2" s="5">
        <v>46058</v>
      </c>
      <c r="I2" s="6"/>
      <c r="J2" s="5">
        <v>46059</v>
      </c>
      <c r="K2" s="6"/>
      <c r="L2" s="5">
        <v>46060</v>
      </c>
      <c r="M2" s="6"/>
      <c r="N2" s="5">
        <v>46061</v>
      </c>
      <c r="O2" s="7"/>
      <c r="P2" s="3"/>
    </row>
    <row r="3" spans="1:21" ht="63" customHeight="1">
      <c r="A3" s="8" t="s">
        <v>9</v>
      </c>
      <c r="B3" s="282" t="s">
        <v>1163</v>
      </c>
      <c r="C3" s="10"/>
      <c r="D3" s="62"/>
      <c r="E3" s="10"/>
      <c r="F3" s="62" t="s">
        <v>1164</v>
      </c>
      <c r="G3" s="11"/>
      <c r="H3" s="272"/>
      <c r="I3" s="10"/>
      <c r="J3" s="9"/>
      <c r="K3" s="10"/>
      <c r="L3" s="9" t="s">
        <v>1165</v>
      </c>
      <c r="M3" s="13"/>
      <c r="N3" s="9"/>
      <c r="O3" s="15"/>
      <c r="P3" s="3"/>
    </row>
    <row r="4" spans="1:21" ht="28.9">
      <c r="A4" s="16" t="s">
        <v>14</v>
      </c>
      <c r="B4" s="19" t="s">
        <v>998</v>
      </c>
      <c r="C4" s="18">
        <v>10</v>
      </c>
      <c r="D4" s="19" t="s">
        <v>1166</v>
      </c>
      <c r="E4" s="18">
        <v>6.5</v>
      </c>
      <c r="F4" s="19" t="s">
        <v>1167</v>
      </c>
      <c r="G4" s="18">
        <v>9.5</v>
      </c>
      <c r="H4" s="19" t="s">
        <v>1168</v>
      </c>
      <c r="I4" s="18">
        <v>9.5</v>
      </c>
      <c r="J4" s="19" t="s">
        <v>15</v>
      </c>
      <c r="K4" s="18">
        <v>8</v>
      </c>
      <c r="L4" s="284" t="s">
        <v>17</v>
      </c>
      <c r="M4" s="18"/>
      <c r="N4" s="18" t="s">
        <v>17</v>
      </c>
      <c r="O4" s="18"/>
      <c r="P4" s="3">
        <f t="shared" ref="P4:P19" si="0">SUM(O4,M4,K4,I4,G4,E4,C4)</f>
        <v>43.5</v>
      </c>
    </row>
    <row r="5" spans="1:21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21" ht="28.9">
      <c r="A6" s="163" t="s">
        <v>214</v>
      </c>
      <c r="B6" s="33" t="s">
        <v>1169</v>
      </c>
      <c r="C6" s="48">
        <v>7</v>
      </c>
      <c r="D6" s="45" t="s">
        <v>1170</v>
      </c>
      <c r="E6" s="48">
        <v>7.5</v>
      </c>
      <c r="F6" s="45" t="s">
        <v>1171</v>
      </c>
      <c r="G6" s="48">
        <v>5</v>
      </c>
      <c r="H6" s="129" t="s">
        <v>1093</v>
      </c>
      <c r="I6" s="48"/>
      <c r="J6" s="18" t="s">
        <v>1093</v>
      </c>
      <c r="K6" s="48">
        <v>4</v>
      </c>
      <c r="L6" s="45" t="s">
        <v>1172</v>
      </c>
      <c r="M6" s="48">
        <v>5</v>
      </c>
      <c r="N6" s="18" t="s">
        <v>17</v>
      </c>
      <c r="O6" s="18"/>
      <c r="P6" s="3">
        <f>SUM(O6,M6,K6,I6,G6,E6,C6)</f>
        <v>28.5</v>
      </c>
    </row>
    <row r="7" spans="1:21" ht="43.15">
      <c r="A7" s="163" t="s">
        <v>694</v>
      </c>
      <c r="B7" s="48" t="s">
        <v>1173</v>
      </c>
      <c r="C7" s="48">
        <v>7.5</v>
      </c>
      <c r="D7" s="48"/>
      <c r="E7" s="48"/>
      <c r="F7" s="155" t="s">
        <v>696</v>
      </c>
      <c r="G7" s="48">
        <v>4</v>
      </c>
      <c r="H7" s="155" t="s">
        <v>696</v>
      </c>
      <c r="I7" s="48">
        <v>4</v>
      </c>
      <c r="J7" s="48" t="s">
        <v>1174</v>
      </c>
      <c r="K7" s="48">
        <v>8.5</v>
      </c>
      <c r="L7" s="38"/>
      <c r="M7" s="47"/>
      <c r="N7" s="18" t="s">
        <v>17</v>
      </c>
      <c r="O7" s="18"/>
      <c r="P7" s="3">
        <f t="shared" si="0"/>
        <v>24</v>
      </c>
      <c r="R7" s="121" t="s">
        <v>31</v>
      </c>
      <c r="S7" s="121" t="s">
        <v>32</v>
      </c>
      <c r="T7" s="121" t="s">
        <v>33</v>
      </c>
      <c r="U7" s="121"/>
    </row>
    <row r="8" spans="1:21" ht="57.6">
      <c r="A8" s="128" t="s">
        <v>698</v>
      </c>
      <c r="B8" s="38"/>
      <c r="C8" s="48"/>
      <c r="D8" s="153" t="s">
        <v>1175</v>
      </c>
      <c r="E8" s="48">
        <v>6.5</v>
      </c>
      <c r="F8" s="48" t="s">
        <v>266</v>
      </c>
      <c r="G8" s="48">
        <v>5</v>
      </c>
      <c r="H8" s="48" t="s">
        <v>1176</v>
      </c>
      <c r="I8" s="48">
        <v>7</v>
      </c>
      <c r="J8" s="30" t="s">
        <v>1177</v>
      </c>
      <c r="K8" s="48">
        <v>5</v>
      </c>
      <c r="L8" s="45" t="s">
        <v>1178</v>
      </c>
      <c r="M8" s="48">
        <v>9.5</v>
      </c>
      <c r="N8" s="18" t="s">
        <v>17</v>
      </c>
      <c r="O8" s="18"/>
      <c r="P8" s="3">
        <f t="shared" si="0"/>
        <v>33</v>
      </c>
      <c r="R8" s="121"/>
      <c r="S8" s="121"/>
      <c r="T8" s="260"/>
      <c r="U8" s="121" t="s">
        <v>39</v>
      </c>
    </row>
    <row r="9" spans="1:21" ht="28.9">
      <c r="A9" s="128" t="s">
        <v>701</v>
      </c>
      <c r="B9" s="38"/>
      <c r="C9" s="48"/>
      <c r="D9" s="81" t="s">
        <v>26</v>
      </c>
      <c r="E9" s="48"/>
      <c r="F9" s="38"/>
      <c r="G9" s="48"/>
      <c r="H9" s="81" t="s">
        <v>816</v>
      </c>
      <c r="I9" s="48">
        <v>5</v>
      </c>
      <c r="J9" s="81" t="s">
        <v>816</v>
      </c>
      <c r="K9" s="48">
        <v>5</v>
      </c>
      <c r="L9" s="45" t="s">
        <v>1179</v>
      </c>
      <c r="M9" s="48">
        <v>9.5</v>
      </c>
      <c r="N9" s="18" t="s">
        <v>17</v>
      </c>
      <c r="O9" s="18"/>
      <c r="P9" s="3">
        <f t="shared" si="0"/>
        <v>19.5</v>
      </c>
      <c r="R9" s="121"/>
      <c r="S9" s="121"/>
      <c r="T9" s="260"/>
      <c r="U9" s="121" t="s">
        <v>45</v>
      </c>
    </row>
    <row r="10" spans="1:21" ht="55.5" customHeight="1">
      <c r="A10" s="128" t="s">
        <v>704</v>
      </c>
      <c r="B10" s="48" t="s">
        <v>1180</v>
      </c>
      <c r="C10" s="48">
        <v>4</v>
      </c>
      <c r="D10" s="38"/>
      <c r="E10" s="48"/>
      <c r="F10" s="48" t="s">
        <v>1181</v>
      </c>
      <c r="G10" s="48">
        <v>5</v>
      </c>
      <c r="H10" s="48" t="s">
        <v>1182</v>
      </c>
      <c r="I10" s="48">
        <v>4.5</v>
      </c>
      <c r="J10" s="45" t="s">
        <v>1183</v>
      </c>
      <c r="K10" s="48">
        <v>7.5</v>
      </c>
      <c r="L10" s="48" t="s">
        <v>1184</v>
      </c>
      <c r="M10" s="48">
        <v>3</v>
      </c>
      <c r="N10" s="18"/>
      <c r="O10" s="18"/>
      <c r="P10" s="3">
        <f>SUM(O10,M10,K10,I10,G10,E10,C10)</f>
        <v>24</v>
      </c>
      <c r="R10" s="121"/>
      <c r="S10" s="121"/>
      <c r="T10" s="121"/>
      <c r="U10" s="121" t="s">
        <v>50</v>
      </c>
    </row>
    <row r="11" spans="1:21" ht="30" customHeight="1">
      <c r="A11" s="163" t="s">
        <v>710</v>
      </c>
      <c r="B11" s="56" t="s">
        <v>1185</v>
      </c>
      <c r="C11" s="48">
        <v>8.5</v>
      </c>
      <c r="D11" s="56" t="s">
        <v>1095</v>
      </c>
      <c r="E11" s="48">
        <v>7.5</v>
      </c>
      <c r="F11" s="45" t="s">
        <v>1186</v>
      </c>
      <c r="G11" s="48">
        <v>5</v>
      </c>
      <c r="H11" s="56" t="s">
        <v>1187</v>
      </c>
      <c r="I11" s="48">
        <v>7.5</v>
      </c>
      <c r="J11" s="56"/>
      <c r="K11" s="48"/>
      <c r="L11" s="56" t="s">
        <v>1188</v>
      </c>
      <c r="M11" s="48">
        <v>10</v>
      </c>
      <c r="N11" s="18" t="s">
        <v>17</v>
      </c>
      <c r="O11" s="18"/>
      <c r="P11" s="3">
        <f t="shared" ref="P11:P12" si="1">SUM(O11,M11,K11,I11,G11,E11,C11)</f>
        <v>38.5</v>
      </c>
      <c r="R11" s="121"/>
      <c r="S11" s="121"/>
      <c r="T11" s="121"/>
      <c r="U11" s="121" t="s">
        <v>601</v>
      </c>
    </row>
    <row r="12" spans="1:21" ht="28.9">
      <c r="A12" s="163" t="s">
        <v>712</v>
      </c>
      <c r="B12" s="56" t="s">
        <v>1189</v>
      </c>
      <c r="C12" s="48">
        <v>7.5</v>
      </c>
      <c r="D12" s="56" t="s">
        <v>1189</v>
      </c>
      <c r="E12" s="48">
        <v>7.5</v>
      </c>
      <c r="F12" s="56" t="s">
        <v>1189</v>
      </c>
      <c r="G12" s="48">
        <v>7.5</v>
      </c>
      <c r="H12" s="56"/>
      <c r="I12" s="48"/>
      <c r="J12" s="38"/>
      <c r="K12" s="48"/>
      <c r="L12" s="56"/>
      <c r="M12" s="48"/>
      <c r="N12" s="18" t="s">
        <v>17</v>
      </c>
      <c r="O12" s="18"/>
      <c r="P12" s="3">
        <f t="shared" si="1"/>
        <v>22.5</v>
      </c>
      <c r="R12" s="121"/>
      <c r="S12" s="121"/>
      <c r="T12" s="121"/>
      <c r="U12" s="121" t="s">
        <v>58</v>
      </c>
    </row>
    <row r="13" spans="1:21" ht="43.15">
      <c r="A13" s="60" t="s">
        <v>716</v>
      </c>
      <c r="B13" s="82" t="s">
        <v>1190</v>
      </c>
      <c r="C13" s="18">
        <v>7.5</v>
      </c>
      <c r="D13" s="82" t="s">
        <v>1191</v>
      </c>
      <c r="E13" s="18">
        <v>7.5</v>
      </c>
      <c r="F13" s="82"/>
      <c r="G13" s="18"/>
      <c r="H13" s="82" t="s">
        <v>883</v>
      </c>
      <c r="I13" s="18">
        <v>6.5</v>
      </c>
      <c r="J13" s="56" t="s">
        <v>1192</v>
      </c>
      <c r="K13" s="48">
        <v>9.5</v>
      </c>
      <c r="L13" s="56" t="s">
        <v>1193</v>
      </c>
      <c r="M13" s="48">
        <v>8.5</v>
      </c>
      <c r="N13" s="18"/>
      <c r="O13" s="18"/>
      <c r="P13" s="3">
        <f t="shared" si="0"/>
        <v>39.5</v>
      </c>
      <c r="R13" s="121"/>
      <c r="S13" s="121"/>
      <c r="T13" s="121"/>
      <c r="U13" s="121"/>
    </row>
    <row r="14" spans="1:21" ht="57.6">
      <c r="A14" s="163" t="s">
        <v>719</v>
      </c>
      <c r="B14" s="45" t="s">
        <v>1194</v>
      </c>
      <c r="C14" s="48">
        <v>7.5</v>
      </c>
      <c r="D14" s="48" t="s">
        <v>1195</v>
      </c>
      <c r="E14" s="48">
        <v>7.5</v>
      </c>
      <c r="F14" s="48" t="s">
        <v>1196</v>
      </c>
      <c r="G14" s="48">
        <v>10</v>
      </c>
      <c r="H14" s="155" t="s">
        <v>1197</v>
      </c>
      <c r="I14" s="48">
        <v>3</v>
      </c>
      <c r="J14" s="45" t="s">
        <v>1197</v>
      </c>
      <c r="K14" s="48">
        <v>3</v>
      </c>
      <c r="L14" s="48"/>
      <c r="M14" s="48"/>
      <c r="N14" s="18" t="s">
        <v>17</v>
      </c>
      <c r="O14" s="18"/>
      <c r="P14" s="3">
        <f t="shared" si="0"/>
        <v>31</v>
      </c>
      <c r="R14" s="121"/>
      <c r="S14" s="121"/>
      <c r="T14" s="121"/>
      <c r="U14" s="121"/>
    </row>
    <row r="15" spans="1:21">
      <c r="A15" s="163" t="s">
        <v>725</v>
      </c>
      <c r="B15" s="56" t="s">
        <v>26</v>
      </c>
      <c r="C15" s="48"/>
      <c r="D15" s="283"/>
      <c r="E15" s="48"/>
      <c r="F15" s="56" t="s">
        <v>1198</v>
      </c>
      <c r="G15" s="48">
        <v>8.5</v>
      </c>
      <c r="H15" s="56" t="s">
        <v>1199</v>
      </c>
      <c r="I15" s="48">
        <v>7.5</v>
      </c>
      <c r="J15" s="56" t="s">
        <v>1200</v>
      </c>
      <c r="K15" s="48">
        <v>9.5</v>
      </c>
      <c r="L15" s="273"/>
      <c r="M15" s="48"/>
      <c r="N15" s="18" t="s">
        <v>17</v>
      </c>
      <c r="O15" s="18"/>
      <c r="P15" s="3">
        <f t="shared" si="0"/>
        <v>25.5</v>
      </c>
      <c r="R15" s="121"/>
      <c r="S15" s="121"/>
      <c r="T15" s="121"/>
      <c r="U15" s="121"/>
    </row>
    <row r="16" spans="1:21" ht="28.9">
      <c r="A16" s="45" t="s">
        <v>730</v>
      </c>
      <c r="B16" s="45" t="s">
        <v>1201</v>
      </c>
      <c r="C16" s="48">
        <v>9.5</v>
      </c>
      <c r="D16" s="45" t="s">
        <v>1202</v>
      </c>
      <c r="E16" s="48">
        <v>9.5</v>
      </c>
      <c r="F16" s="45"/>
      <c r="G16" s="48"/>
      <c r="H16" s="45"/>
      <c r="I16" s="48"/>
      <c r="J16" s="141"/>
      <c r="K16" s="18"/>
      <c r="L16" s="45" t="s">
        <v>1201</v>
      </c>
      <c r="M16" s="48">
        <v>9.5</v>
      </c>
      <c r="N16" s="18"/>
      <c r="O16" s="18"/>
      <c r="P16" s="3">
        <f t="shared" si="0"/>
        <v>28.5</v>
      </c>
      <c r="R16" s="121"/>
      <c r="S16" s="121"/>
      <c r="T16" s="121"/>
      <c r="U16" s="121"/>
    </row>
    <row r="17" spans="1:21" ht="28.9">
      <c r="A17" s="45" t="s">
        <v>1203</v>
      </c>
      <c r="B17" s="45" t="s">
        <v>1204</v>
      </c>
      <c r="C17" s="48">
        <v>3.5</v>
      </c>
      <c r="D17" s="69"/>
      <c r="E17" s="48"/>
      <c r="F17" s="45" t="s">
        <v>895</v>
      </c>
      <c r="G17" s="48">
        <v>3.5</v>
      </c>
      <c r="H17" s="45"/>
      <c r="I17" s="48"/>
      <c r="J17" s="141"/>
      <c r="K17" s="18"/>
      <c r="L17" s="45" t="s">
        <v>1205</v>
      </c>
      <c r="M17" s="48">
        <v>5</v>
      </c>
      <c r="N17" s="18"/>
      <c r="O17" s="18"/>
      <c r="P17" s="3">
        <f t="shared" si="0"/>
        <v>12</v>
      </c>
      <c r="R17" s="121"/>
      <c r="S17" s="121"/>
      <c r="T17" s="121"/>
      <c r="U17" s="121"/>
    </row>
    <row r="18" spans="1:21">
      <c r="A18" s="45" t="s">
        <v>1206</v>
      </c>
      <c r="B18" s="82" t="s">
        <v>1207</v>
      </c>
      <c r="C18" s="18">
        <v>5.5</v>
      </c>
      <c r="D18" s="82"/>
      <c r="E18" s="18"/>
      <c r="F18" s="82"/>
      <c r="G18" s="18"/>
      <c r="H18" s="85" t="s">
        <v>1208</v>
      </c>
      <c r="I18" s="18">
        <v>9.5</v>
      </c>
      <c r="J18" s="82"/>
      <c r="K18" s="18"/>
      <c r="L18" s="268"/>
      <c r="M18" s="18"/>
      <c r="N18" s="18"/>
      <c r="O18" s="18"/>
      <c r="P18" s="3">
        <f t="shared" si="0"/>
        <v>15</v>
      </c>
      <c r="R18" s="121"/>
      <c r="S18" s="121"/>
      <c r="T18" s="121"/>
      <c r="U18" s="121"/>
    </row>
    <row r="19" spans="1:21" ht="43.15">
      <c r="A19" s="45" t="s">
        <v>1209</v>
      </c>
      <c r="B19" s="82"/>
      <c r="C19" s="18"/>
      <c r="D19" s="82" t="s">
        <v>1210</v>
      </c>
      <c r="E19" s="18">
        <v>4</v>
      </c>
      <c r="F19" s="82" t="s">
        <v>1211</v>
      </c>
      <c r="G19" s="18">
        <v>6</v>
      </c>
      <c r="H19" s="269" t="s">
        <v>1212</v>
      </c>
      <c r="I19" s="18">
        <v>4</v>
      </c>
      <c r="J19" s="138" t="s">
        <v>1213</v>
      </c>
      <c r="K19" s="18">
        <v>5</v>
      </c>
      <c r="L19" s="268"/>
      <c r="M19" s="18"/>
      <c r="N19" s="18"/>
      <c r="O19" s="18"/>
      <c r="P19" s="3">
        <f t="shared" si="0"/>
        <v>19</v>
      </c>
      <c r="R19" s="121"/>
      <c r="S19" s="121"/>
      <c r="T19" s="121"/>
      <c r="U19" s="121"/>
    </row>
    <row r="20" spans="1:21">
      <c r="A20" s="52" t="s">
        <v>95</v>
      </c>
      <c r="B20" s="3"/>
      <c r="C20" s="3">
        <f>SUM(C7:C13)</f>
        <v>35</v>
      </c>
      <c r="D20" s="3"/>
      <c r="E20" s="3">
        <f>SUM(E6:E19)</f>
        <v>57.5</v>
      </c>
      <c r="F20" s="3"/>
      <c r="G20" s="3">
        <f>SUM(G6:G19)</f>
        <v>59.5</v>
      </c>
      <c r="H20" s="3"/>
      <c r="I20" s="3">
        <f>SUM(I6:I19)</f>
        <v>58.5</v>
      </c>
      <c r="J20" s="3"/>
      <c r="K20" s="3">
        <f>SUM(K6:K19)</f>
        <v>57</v>
      </c>
      <c r="L20" s="3"/>
      <c r="M20" s="3">
        <f>SUM(M6:M19)</f>
        <v>60</v>
      </c>
      <c r="N20" s="3"/>
      <c r="O20" s="3">
        <f>SUM(O6:O19)</f>
        <v>0</v>
      </c>
      <c r="P20" s="3">
        <f>SUM(O20,M20,K20,I20,G20,E20,C20)</f>
        <v>327.5</v>
      </c>
    </row>
    <row r="21" spans="1:21">
      <c r="C21">
        <f>C20*20</f>
        <v>700</v>
      </c>
      <c r="E21">
        <f>E20*20</f>
        <v>1150</v>
      </c>
      <c r="G21">
        <f>G20*20</f>
        <v>1190</v>
      </c>
      <c r="I21">
        <f>I20*20</f>
        <v>1170</v>
      </c>
      <c r="K21">
        <f>K20*20</f>
        <v>1140</v>
      </c>
      <c r="M21">
        <f>M20*20</f>
        <v>1200</v>
      </c>
    </row>
    <row r="23" spans="1:21" ht="15" thickBot="1">
      <c r="A23" s="264" t="s">
        <v>96</v>
      </c>
      <c r="B23" s="264"/>
      <c r="C23" s="117"/>
      <c r="D23" s="121"/>
    </row>
    <row r="24" spans="1:21" ht="18.600000000000001" thickBot="1">
      <c r="A24" s="145" t="s">
        <v>97</v>
      </c>
      <c r="D24" s="434" t="s">
        <v>98</v>
      </c>
      <c r="E24" s="435"/>
      <c r="F24" s="435"/>
      <c r="G24" s="435"/>
      <c r="H24" s="435"/>
      <c r="I24" s="435"/>
      <c r="J24" s="436"/>
    </row>
    <row r="25" spans="1:21" ht="18">
      <c r="A25" s="146" t="s">
        <v>99</v>
      </c>
      <c r="D25" s="174" t="s">
        <v>100</v>
      </c>
      <c r="E25" s="175"/>
      <c r="F25" s="175" t="s">
        <v>101</v>
      </c>
      <c r="G25" s="175"/>
      <c r="H25" s="175" t="s">
        <v>102</v>
      </c>
      <c r="I25" s="175"/>
      <c r="J25" s="176" t="s">
        <v>103</v>
      </c>
    </row>
    <row r="26" spans="1:21" ht="18.600000000000001" thickBot="1">
      <c r="A26" s="147" t="s">
        <v>104</v>
      </c>
      <c r="D26" s="177" t="s">
        <v>105</v>
      </c>
      <c r="E26" s="178"/>
      <c r="F26" s="178" t="s">
        <v>106</v>
      </c>
      <c r="G26" s="178"/>
      <c r="H26" s="178" t="s">
        <v>107</v>
      </c>
      <c r="I26" s="178"/>
      <c r="J26" s="179" t="s">
        <v>108</v>
      </c>
      <c r="Q26">
        <f>P20*20</f>
        <v>6550</v>
      </c>
    </row>
    <row r="27" spans="1:21" ht="18.600000000000001" thickBot="1">
      <c r="A27" s="148" t="s">
        <v>109</v>
      </c>
      <c r="D27" s="175" t="s">
        <v>110</v>
      </c>
      <c r="E27" s="175"/>
      <c r="F27" s="175"/>
      <c r="G27" s="175"/>
      <c r="H27" s="175"/>
      <c r="I27" s="175"/>
      <c r="J27" s="175"/>
    </row>
    <row r="28" spans="1:21" ht="18.600000000000001" thickBot="1">
      <c r="A28" s="149" t="s">
        <v>111</v>
      </c>
      <c r="D28" s="434" t="s">
        <v>112</v>
      </c>
      <c r="E28" s="435"/>
      <c r="F28" s="435"/>
      <c r="G28" s="435"/>
      <c r="H28" s="435"/>
      <c r="I28" s="435"/>
      <c r="J28" s="436"/>
    </row>
    <row r="29" spans="1:21" ht="18">
      <c r="A29" s="150" t="s">
        <v>113</v>
      </c>
      <c r="D29" s="437" t="s">
        <v>114</v>
      </c>
      <c r="E29" s="438"/>
      <c r="F29" s="438"/>
      <c r="G29" s="438"/>
      <c r="H29" s="438"/>
      <c r="I29" s="438"/>
      <c r="J29" s="439"/>
    </row>
    <row r="30" spans="1:21" ht="18">
      <c r="A30" s="151" t="s">
        <v>115</v>
      </c>
      <c r="D30" s="437" t="s">
        <v>116</v>
      </c>
      <c r="E30" s="438"/>
      <c r="F30" s="438"/>
      <c r="G30" s="438"/>
      <c r="H30" s="438"/>
      <c r="I30" s="438"/>
      <c r="J30" s="439"/>
    </row>
    <row r="31" spans="1:21" ht="18">
      <c r="A31" s="152" t="s">
        <v>117</v>
      </c>
      <c r="D31" s="437" t="s">
        <v>118</v>
      </c>
      <c r="E31" s="438"/>
      <c r="F31" s="438"/>
      <c r="G31" s="438"/>
      <c r="H31" s="438"/>
      <c r="I31" s="438"/>
      <c r="J31" s="439"/>
      <c r="T31" t="s">
        <v>110</v>
      </c>
    </row>
    <row r="32" spans="1:21" ht="15" thickBot="1">
      <c r="D32" s="431" t="s">
        <v>119</v>
      </c>
      <c r="E32" s="432"/>
      <c r="F32" s="432"/>
      <c r="G32" s="432"/>
      <c r="H32" s="432"/>
      <c r="I32" s="432"/>
      <c r="J32" s="433"/>
    </row>
  </sheetData>
  <mergeCells count="6">
    <mergeCell ref="D32:J32"/>
    <mergeCell ref="D24:J24"/>
    <mergeCell ref="D28:J28"/>
    <mergeCell ref="D29:J29"/>
    <mergeCell ref="D30:J30"/>
    <mergeCell ref="D31:J31"/>
  </mergeCells>
  <pageMargins left="0.25" right="0.25" top="0.75" bottom="0.75" header="0.3" footer="0.3"/>
  <pageSetup scale="41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5A2C-B08C-4D42-853D-A434501681C6}">
  <sheetPr>
    <tabColor theme="9"/>
  </sheetPr>
  <dimension ref="A1:U31"/>
  <sheetViews>
    <sheetView zoomScaleNormal="100" zoomScaleSheetLayoutView="100" workbookViewId="0">
      <selection activeCell="H15" sqref="H15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19.85546875" bestFit="1" customWidth="1"/>
    <col min="5" max="5" width="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17" max="20" width="8.85546875" bestFit="1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46048</v>
      </c>
      <c r="C2" s="6"/>
      <c r="D2" s="5">
        <v>46049</v>
      </c>
      <c r="E2" s="6"/>
      <c r="F2" s="5">
        <v>46050</v>
      </c>
      <c r="G2" s="6"/>
      <c r="H2" s="5">
        <v>46051</v>
      </c>
      <c r="I2" s="6"/>
      <c r="J2" s="5">
        <v>46052</v>
      </c>
      <c r="K2" s="6"/>
      <c r="L2" s="5">
        <v>46053</v>
      </c>
      <c r="M2" s="6"/>
      <c r="N2" s="5">
        <v>46054</v>
      </c>
      <c r="O2" s="7"/>
      <c r="P2" s="3"/>
    </row>
    <row r="3" spans="1:21">
      <c r="A3" s="8" t="s">
        <v>9</v>
      </c>
      <c r="B3" s="9" t="s">
        <v>1214</v>
      </c>
      <c r="C3" s="10"/>
      <c r="D3" s="9"/>
      <c r="E3" s="10"/>
      <c r="F3" s="9"/>
      <c r="G3" s="11"/>
      <c r="H3" s="272" t="s">
        <v>1215</v>
      </c>
      <c r="I3" s="10"/>
      <c r="J3" s="9"/>
      <c r="K3" s="10"/>
      <c r="L3" s="9"/>
      <c r="M3" s="13"/>
      <c r="N3" s="9"/>
      <c r="O3" s="15"/>
      <c r="P3" s="3"/>
    </row>
    <row r="4" spans="1:21">
      <c r="A4" s="16" t="s">
        <v>14</v>
      </c>
      <c r="B4" s="19" t="s">
        <v>16</v>
      </c>
      <c r="C4" s="18">
        <v>8</v>
      </c>
      <c r="D4" s="19" t="s">
        <v>1216</v>
      </c>
      <c r="E4" s="18">
        <v>10</v>
      </c>
      <c r="F4" s="19" t="s">
        <v>344</v>
      </c>
      <c r="G4" s="18">
        <v>8.5</v>
      </c>
      <c r="H4" s="19" t="s">
        <v>16</v>
      </c>
      <c r="I4" s="18">
        <v>8</v>
      </c>
      <c r="J4" s="19" t="s">
        <v>129</v>
      </c>
      <c r="K4" s="18">
        <v>7</v>
      </c>
      <c r="L4" s="94" t="s">
        <v>17</v>
      </c>
      <c r="M4" s="18"/>
      <c r="N4" s="18" t="s">
        <v>17</v>
      </c>
      <c r="O4" s="18"/>
      <c r="P4" s="3">
        <f t="shared" ref="P4:P18" si="0">SUM(O4,M4,K4,I4,G4,E4,C4)</f>
        <v>41.5</v>
      </c>
    </row>
    <row r="5" spans="1:21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21" ht="43.15">
      <c r="A6" s="277" t="s">
        <v>214</v>
      </c>
      <c r="B6" s="278" t="s">
        <v>1214</v>
      </c>
      <c r="C6" s="279"/>
      <c r="D6" s="280" t="s">
        <v>1217</v>
      </c>
      <c r="E6" s="48">
        <v>4.5</v>
      </c>
      <c r="F6" s="45" t="s">
        <v>1218</v>
      </c>
      <c r="G6" s="48">
        <v>8.5</v>
      </c>
      <c r="H6" s="129" t="s">
        <v>1093</v>
      </c>
      <c r="I6" s="48">
        <v>4</v>
      </c>
      <c r="J6" s="18" t="s">
        <v>1219</v>
      </c>
      <c r="K6" s="48">
        <v>7.5</v>
      </c>
      <c r="L6" s="45" t="s">
        <v>1220</v>
      </c>
      <c r="M6" s="48">
        <v>5</v>
      </c>
      <c r="N6" s="18" t="s">
        <v>17</v>
      </c>
      <c r="O6" s="18"/>
      <c r="P6" s="3">
        <f t="shared" si="0"/>
        <v>29.5</v>
      </c>
    </row>
    <row r="7" spans="1:21" ht="28.9">
      <c r="A7" s="275" t="s">
        <v>719</v>
      </c>
      <c r="B7" s="167" t="s">
        <v>1221</v>
      </c>
      <c r="C7" s="167">
        <v>2</v>
      </c>
      <c r="D7" s="167" t="s">
        <v>1222</v>
      </c>
      <c r="E7" s="73">
        <v>7.5</v>
      </c>
      <c r="F7" s="82" t="s">
        <v>1223</v>
      </c>
      <c r="G7" s="18">
        <v>7</v>
      </c>
      <c r="H7" s="155" t="s">
        <v>1197</v>
      </c>
      <c r="I7" s="48">
        <v>3</v>
      </c>
      <c r="J7" s="45" t="s">
        <v>1224</v>
      </c>
      <c r="K7" s="48">
        <v>6.5</v>
      </c>
      <c r="L7" s="48"/>
      <c r="M7" s="48"/>
      <c r="N7" s="18" t="s">
        <v>17</v>
      </c>
      <c r="O7" s="18"/>
      <c r="P7" s="3">
        <f t="shared" si="0"/>
        <v>26</v>
      </c>
      <c r="R7" s="121" t="s">
        <v>31</v>
      </c>
      <c r="S7" s="121" t="s">
        <v>32</v>
      </c>
      <c r="T7" s="121" t="s">
        <v>33</v>
      </c>
      <c r="U7" s="121"/>
    </row>
    <row r="8" spans="1:21" ht="43.15">
      <c r="A8" s="275" t="s">
        <v>694</v>
      </c>
      <c r="B8" s="276" t="s">
        <v>1225</v>
      </c>
      <c r="C8" s="167">
        <v>7.5</v>
      </c>
      <c r="D8" s="167" t="s">
        <v>1210</v>
      </c>
      <c r="E8" s="73">
        <v>4</v>
      </c>
      <c r="F8" s="155" t="s">
        <v>696</v>
      </c>
      <c r="G8" s="48">
        <v>4</v>
      </c>
      <c r="H8" s="155" t="s">
        <v>1067</v>
      </c>
      <c r="I8" s="48">
        <v>4.25</v>
      </c>
      <c r="J8" s="48" t="s">
        <v>1226</v>
      </c>
      <c r="K8" s="48">
        <v>8.5</v>
      </c>
      <c r="L8" s="38"/>
      <c r="M8" s="47"/>
      <c r="N8" s="18" t="s">
        <v>17</v>
      </c>
      <c r="O8" s="18"/>
      <c r="P8" s="3">
        <f t="shared" si="0"/>
        <v>28.25</v>
      </c>
      <c r="R8" s="121"/>
      <c r="S8" s="121"/>
      <c r="T8" s="260"/>
      <c r="U8" s="121" t="s">
        <v>39</v>
      </c>
    </row>
    <row r="9" spans="1:21">
      <c r="A9" s="163" t="s">
        <v>725</v>
      </c>
      <c r="B9" s="281" t="s">
        <v>1227</v>
      </c>
      <c r="C9" s="61">
        <v>8.5</v>
      </c>
      <c r="D9" s="287"/>
      <c r="E9" s="48"/>
      <c r="F9" s="56" t="s">
        <v>1227</v>
      </c>
      <c r="G9" s="48">
        <v>8.5</v>
      </c>
      <c r="H9" s="56" t="s">
        <v>1228</v>
      </c>
      <c r="I9" s="48">
        <v>7.5</v>
      </c>
      <c r="J9" s="56" t="s">
        <v>1200</v>
      </c>
      <c r="K9" s="48">
        <v>9.5</v>
      </c>
      <c r="L9" s="273"/>
      <c r="M9" s="48"/>
      <c r="N9" s="18" t="s">
        <v>17</v>
      </c>
      <c r="O9" s="18"/>
      <c r="P9" s="3">
        <f t="shared" si="0"/>
        <v>34</v>
      </c>
      <c r="R9" s="121"/>
      <c r="S9" s="121"/>
      <c r="T9" s="260"/>
      <c r="U9" s="121" t="s">
        <v>45</v>
      </c>
    </row>
    <row r="10" spans="1:21" ht="57.6">
      <c r="A10" s="128" t="s">
        <v>698</v>
      </c>
      <c r="B10" s="38"/>
      <c r="C10" s="48"/>
      <c r="D10" s="153" t="s">
        <v>1229</v>
      </c>
      <c r="E10" s="48">
        <v>6.5</v>
      </c>
      <c r="F10" s="48" t="s">
        <v>1230</v>
      </c>
      <c r="G10" s="48">
        <v>9.5</v>
      </c>
      <c r="H10" s="48" t="s">
        <v>807</v>
      </c>
      <c r="I10" s="48"/>
      <c r="J10" s="30" t="s">
        <v>1231</v>
      </c>
      <c r="K10" s="48">
        <v>5</v>
      </c>
      <c r="L10" s="45" t="s">
        <v>1178</v>
      </c>
      <c r="M10" s="48">
        <v>9.5</v>
      </c>
      <c r="N10" s="18" t="s">
        <v>17</v>
      </c>
      <c r="O10" s="18"/>
      <c r="P10" s="3">
        <f t="shared" si="0"/>
        <v>30.5</v>
      </c>
      <c r="R10" s="121"/>
      <c r="S10" s="121"/>
      <c r="T10" s="121"/>
      <c r="U10" s="121" t="s">
        <v>50</v>
      </c>
    </row>
    <row r="11" spans="1:21" ht="28.9">
      <c r="A11" s="128" t="s">
        <v>701</v>
      </c>
      <c r="B11" s="38"/>
      <c r="C11" s="48"/>
      <c r="D11" s="81" t="s">
        <v>1232</v>
      </c>
      <c r="E11" s="48"/>
      <c r="F11" s="38"/>
      <c r="G11" s="48"/>
      <c r="H11" s="81" t="s">
        <v>816</v>
      </c>
      <c r="I11" s="48">
        <v>5</v>
      </c>
      <c r="J11" s="81"/>
      <c r="K11" s="48"/>
      <c r="L11" s="45" t="s">
        <v>1179</v>
      </c>
      <c r="M11" s="48">
        <v>9.5</v>
      </c>
      <c r="N11" s="18" t="s">
        <v>17</v>
      </c>
      <c r="O11" s="18"/>
      <c r="P11" s="3">
        <f t="shared" si="0"/>
        <v>14.5</v>
      </c>
      <c r="R11" s="121"/>
      <c r="S11" s="121"/>
      <c r="T11" s="121"/>
      <c r="U11" s="121" t="s">
        <v>601</v>
      </c>
    </row>
    <row r="12" spans="1:21" ht="28.9">
      <c r="A12" s="163" t="s">
        <v>710</v>
      </c>
      <c r="B12" s="56"/>
      <c r="C12" s="48"/>
      <c r="D12" s="56" t="s">
        <v>1233</v>
      </c>
      <c r="E12" s="48">
        <v>9</v>
      </c>
      <c r="F12" s="56"/>
      <c r="G12" s="48"/>
      <c r="H12" s="56" t="s">
        <v>1187</v>
      </c>
      <c r="I12" s="48">
        <v>7.5</v>
      </c>
      <c r="J12" s="56" t="s">
        <v>1192</v>
      </c>
      <c r="K12" s="48">
        <v>9.5</v>
      </c>
      <c r="L12" s="56" t="s">
        <v>1188</v>
      </c>
      <c r="M12" s="48">
        <v>10</v>
      </c>
      <c r="N12" s="18" t="s">
        <v>17</v>
      </c>
      <c r="O12" s="18"/>
      <c r="P12" s="3">
        <f t="shared" si="0"/>
        <v>36</v>
      </c>
      <c r="R12" s="121"/>
      <c r="S12" s="121"/>
      <c r="T12" s="121"/>
      <c r="U12" s="121" t="s">
        <v>58</v>
      </c>
    </row>
    <row r="13" spans="1:21" ht="35.25" customHeight="1">
      <c r="A13" s="163" t="s">
        <v>712</v>
      </c>
      <c r="B13" s="56" t="s">
        <v>1189</v>
      </c>
      <c r="C13" s="48">
        <v>7.5</v>
      </c>
      <c r="D13" s="56" t="s">
        <v>1189</v>
      </c>
      <c r="E13" s="48">
        <v>7.5</v>
      </c>
      <c r="F13" s="56" t="s">
        <v>1189</v>
      </c>
      <c r="G13" s="48">
        <v>7.5</v>
      </c>
      <c r="H13" s="56"/>
      <c r="I13" s="48"/>
      <c r="J13" s="38"/>
      <c r="K13" s="48"/>
      <c r="L13" s="56"/>
      <c r="M13" s="48"/>
      <c r="N13" s="18" t="s">
        <v>17</v>
      </c>
      <c r="O13" s="18"/>
      <c r="P13" s="3">
        <f t="shared" si="0"/>
        <v>22.5</v>
      </c>
      <c r="R13" s="121"/>
      <c r="S13" s="121"/>
      <c r="T13" s="121"/>
      <c r="U13" s="121"/>
    </row>
    <row r="14" spans="1:21" ht="43.15">
      <c r="A14" s="128" t="s">
        <v>704</v>
      </c>
      <c r="B14" s="48"/>
      <c r="C14" s="48"/>
      <c r="D14" s="38"/>
      <c r="E14" s="48"/>
      <c r="F14" s="48" t="s">
        <v>1234</v>
      </c>
      <c r="G14" s="48">
        <v>5</v>
      </c>
      <c r="H14" s="48" t="s">
        <v>1182</v>
      </c>
      <c r="I14" s="48">
        <v>4.5</v>
      </c>
      <c r="J14" s="45" t="s">
        <v>1235</v>
      </c>
      <c r="K14" s="48">
        <v>7.5</v>
      </c>
      <c r="L14" s="48" t="s">
        <v>1184</v>
      </c>
      <c r="M14" s="48">
        <v>3</v>
      </c>
      <c r="N14" s="18"/>
      <c r="O14" s="18"/>
      <c r="P14" s="3">
        <f t="shared" si="0"/>
        <v>20</v>
      </c>
      <c r="R14" s="121"/>
      <c r="S14" s="121"/>
      <c r="T14" s="121"/>
      <c r="U14" s="121"/>
    </row>
    <row r="15" spans="1:21" ht="28.9">
      <c r="A15" s="60" t="s">
        <v>716</v>
      </c>
      <c r="B15" s="18" t="s">
        <v>1236</v>
      </c>
      <c r="C15" s="18">
        <v>1</v>
      </c>
      <c r="D15" s="82" t="s">
        <v>1191</v>
      </c>
      <c r="E15" s="18">
        <v>7.5</v>
      </c>
      <c r="F15" s="82"/>
      <c r="G15" s="18"/>
      <c r="H15" s="82" t="s">
        <v>1237</v>
      </c>
      <c r="I15" s="18">
        <v>8</v>
      </c>
      <c r="J15" s="85"/>
      <c r="K15" s="18"/>
      <c r="L15" s="56" t="s">
        <v>1193</v>
      </c>
      <c r="M15" s="48">
        <v>8.5</v>
      </c>
      <c r="N15" s="18"/>
      <c r="O15" s="18"/>
      <c r="P15" s="3">
        <f t="shared" si="0"/>
        <v>25</v>
      </c>
      <c r="R15" s="121"/>
      <c r="S15" s="121"/>
      <c r="T15" s="121"/>
      <c r="U15" s="121"/>
    </row>
    <row r="16" spans="1:21" ht="28.9">
      <c r="A16" s="45" t="s">
        <v>730</v>
      </c>
      <c r="B16" s="45"/>
      <c r="C16" s="48"/>
      <c r="D16" s="45" t="s">
        <v>1238</v>
      </c>
      <c r="E16" s="48">
        <v>9.5</v>
      </c>
      <c r="F16" s="45" t="s">
        <v>1186</v>
      </c>
      <c r="G16" s="48">
        <v>5</v>
      </c>
      <c r="H16" s="45"/>
      <c r="I16" s="48"/>
      <c r="J16" s="141"/>
      <c r="K16" s="18"/>
      <c r="L16" s="45" t="s">
        <v>1201</v>
      </c>
      <c r="M16" s="48">
        <v>9.5</v>
      </c>
      <c r="N16" s="18"/>
      <c r="O16" s="18"/>
      <c r="P16" s="3">
        <f t="shared" si="0"/>
        <v>24</v>
      </c>
    </row>
    <row r="17" spans="1:20">
      <c r="A17" s="45" t="s">
        <v>1239</v>
      </c>
      <c r="B17" s="82"/>
      <c r="C17" s="18"/>
      <c r="D17" s="82"/>
      <c r="E17" s="18"/>
      <c r="F17" s="82"/>
      <c r="G17" s="18"/>
      <c r="H17" s="85" t="s">
        <v>1240</v>
      </c>
      <c r="I17" s="18">
        <v>9.5</v>
      </c>
      <c r="J17" s="82" t="s">
        <v>1241</v>
      </c>
      <c r="K17" s="18">
        <v>5.5</v>
      </c>
      <c r="L17" s="268"/>
      <c r="M17" s="18"/>
      <c r="N17" s="18"/>
      <c r="O17" s="18"/>
      <c r="P17" s="3">
        <f t="shared" si="0"/>
        <v>15</v>
      </c>
    </row>
    <row r="18" spans="1:20">
      <c r="A18" s="45" t="s">
        <v>1242</v>
      </c>
      <c r="B18" s="82" t="s">
        <v>26</v>
      </c>
      <c r="C18" s="18"/>
      <c r="D18" s="82"/>
      <c r="E18" s="18"/>
      <c r="F18" s="82" t="s">
        <v>1211</v>
      </c>
      <c r="G18" s="18">
        <v>6</v>
      </c>
      <c r="H18" s="269" t="s">
        <v>790</v>
      </c>
      <c r="I18" s="18">
        <v>4</v>
      </c>
      <c r="J18" s="138" t="s">
        <v>1243</v>
      </c>
      <c r="K18" s="18">
        <v>5</v>
      </c>
      <c r="L18" s="268"/>
      <c r="M18" s="18"/>
      <c r="N18" s="18"/>
      <c r="O18" s="18"/>
      <c r="P18" s="3">
        <f t="shared" si="0"/>
        <v>15</v>
      </c>
    </row>
    <row r="19" spans="1:20">
      <c r="A19" s="52" t="s">
        <v>95</v>
      </c>
      <c r="B19" s="3"/>
      <c r="C19" s="3">
        <f>SUM(C7:C15)</f>
        <v>26.5</v>
      </c>
      <c r="D19" s="3"/>
      <c r="E19" s="3">
        <f>SUM(E6:E18)</f>
        <v>56</v>
      </c>
      <c r="F19" s="3"/>
      <c r="G19" s="3">
        <f>SUM(G6:G18)</f>
        <v>61</v>
      </c>
      <c r="H19" s="3"/>
      <c r="I19" s="3">
        <f>SUM(I6:I18)</f>
        <v>57.25</v>
      </c>
      <c r="J19" s="3"/>
      <c r="K19" s="3">
        <f>SUM(K6:K18)</f>
        <v>64.5</v>
      </c>
      <c r="L19" s="3"/>
      <c r="M19" s="3">
        <f>SUM(M6:M18)</f>
        <v>55</v>
      </c>
      <c r="N19" s="3"/>
      <c r="O19" s="3">
        <f>SUM(O6:O18)</f>
        <v>0</v>
      </c>
      <c r="P19" s="3">
        <f>SUM(O19,M19,K19,I19,G19,E19,C19)</f>
        <v>320.25</v>
      </c>
    </row>
    <row r="20" spans="1:20">
      <c r="C20">
        <f>C19*20</f>
        <v>530</v>
      </c>
      <c r="E20">
        <f>E19*20</f>
        <v>1120</v>
      </c>
      <c r="G20">
        <f>G19*20</f>
        <v>1220</v>
      </c>
      <c r="I20">
        <f>I19*20</f>
        <v>1145</v>
      </c>
      <c r="K20">
        <f>K19*20</f>
        <v>1290</v>
      </c>
      <c r="M20">
        <f>M19*20</f>
        <v>1100</v>
      </c>
    </row>
    <row r="21" spans="1:20">
      <c r="Q21">
        <f>P19*20</f>
        <v>6405</v>
      </c>
    </row>
    <row r="22" spans="1:20" ht="15" thickBot="1">
      <c r="A22" s="264" t="s">
        <v>96</v>
      </c>
      <c r="B22" s="264"/>
      <c r="C22" s="117"/>
      <c r="D22" s="121"/>
    </row>
    <row r="23" spans="1:20" ht="18.600000000000001" thickBot="1">
      <c r="A23" s="145" t="s">
        <v>97</v>
      </c>
      <c r="D23" s="434" t="s">
        <v>98</v>
      </c>
      <c r="E23" s="435"/>
      <c r="F23" s="435"/>
      <c r="G23" s="435"/>
      <c r="H23" s="435"/>
      <c r="I23" s="435"/>
      <c r="J23" s="436"/>
    </row>
    <row r="24" spans="1:20" ht="18">
      <c r="A24" s="146" t="s">
        <v>99</v>
      </c>
      <c r="D24" s="174" t="s">
        <v>100</v>
      </c>
      <c r="E24" s="175"/>
      <c r="F24" s="175" t="s">
        <v>101</v>
      </c>
      <c r="G24" s="175"/>
      <c r="H24" s="175" t="s">
        <v>102</v>
      </c>
      <c r="I24" s="175"/>
      <c r="J24" s="176" t="s">
        <v>103</v>
      </c>
    </row>
    <row r="25" spans="1:20" ht="18.600000000000001" thickBot="1">
      <c r="A25" s="147" t="s">
        <v>104</v>
      </c>
      <c r="D25" s="177" t="s">
        <v>105</v>
      </c>
      <c r="E25" s="178"/>
      <c r="F25" s="178" t="s">
        <v>106</v>
      </c>
      <c r="G25" s="178"/>
      <c r="H25" s="178" t="s">
        <v>107</v>
      </c>
      <c r="I25" s="178"/>
      <c r="J25" s="179" t="s">
        <v>108</v>
      </c>
    </row>
    <row r="26" spans="1:20" ht="18.600000000000001" thickBot="1">
      <c r="A26" s="148" t="s">
        <v>109</v>
      </c>
      <c r="D26" s="175" t="s">
        <v>110</v>
      </c>
      <c r="E26" s="175"/>
      <c r="F26" s="175"/>
      <c r="G26" s="175"/>
      <c r="H26" s="175"/>
      <c r="I26" s="175"/>
      <c r="J26" s="175"/>
      <c r="T26" t="s">
        <v>110</v>
      </c>
    </row>
    <row r="27" spans="1:20" ht="18.600000000000001" thickBot="1">
      <c r="A27" s="149" t="s">
        <v>111</v>
      </c>
      <c r="D27" s="434" t="s">
        <v>112</v>
      </c>
      <c r="E27" s="435"/>
      <c r="F27" s="435"/>
      <c r="G27" s="435"/>
      <c r="H27" s="435"/>
      <c r="I27" s="435"/>
      <c r="J27" s="436"/>
    </row>
    <row r="28" spans="1:20" ht="3.75" customHeight="1">
      <c r="A28" s="150" t="s">
        <v>113</v>
      </c>
      <c r="D28" s="437" t="s">
        <v>114</v>
      </c>
      <c r="E28" s="438"/>
      <c r="F28" s="438"/>
      <c r="G28" s="438"/>
      <c r="H28" s="438"/>
      <c r="I28" s="438"/>
      <c r="J28" s="439"/>
    </row>
    <row r="29" spans="1:20" ht="18">
      <c r="A29" s="151" t="s">
        <v>115</v>
      </c>
      <c r="D29" s="437" t="s">
        <v>116</v>
      </c>
      <c r="E29" s="438"/>
      <c r="F29" s="438"/>
      <c r="G29" s="438"/>
      <c r="H29" s="438"/>
      <c r="I29" s="438"/>
      <c r="J29" s="439"/>
    </row>
    <row r="30" spans="1:20" ht="18">
      <c r="A30" s="152" t="s">
        <v>117</v>
      </c>
      <c r="D30" s="437" t="s">
        <v>118</v>
      </c>
      <c r="E30" s="438"/>
      <c r="F30" s="438"/>
      <c r="G30" s="438"/>
      <c r="H30" s="438"/>
      <c r="I30" s="438"/>
      <c r="J30" s="439"/>
    </row>
    <row r="31" spans="1:20" ht="15" thickBot="1">
      <c r="D31" s="431" t="s">
        <v>119</v>
      </c>
      <c r="E31" s="432"/>
      <c r="F31" s="432"/>
      <c r="G31" s="432"/>
      <c r="H31" s="432"/>
      <c r="I31" s="432"/>
      <c r="J31" s="433"/>
    </row>
  </sheetData>
  <mergeCells count="6">
    <mergeCell ref="D31:J31"/>
    <mergeCell ref="D23:J23"/>
    <mergeCell ref="D27:J27"/>
    <mergeCell ref="D28:J28"/>
    <mergeCell ref="D29:J29"/>
    <mergeCell ref="D30:J3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1242-471B-4EF9-8BF0-38F4379002B9}">
  <sheetPr>
    <tabColor theme="9"/>
  </sheetPr>
  <dimension ref="A1:U31"/>
  <sheetViews>
    <sheetView topLeftCell="A6" zoomScale="70" zoomScaleNormal="70" workbookViewId="0">
      <selection activeCell="H18" sqref="H18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5703125" bestFit="1" customWidth="1"/>
    <col min="12" max="12" width="18.42578125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45676</v>
      </c>
      <c r="C2" s="6"/>
      <c r="D2" s="5">
        <v>45677</v>
      </c>
      <c r="E2" s="6"/>
      <c r="F2" s="5">
        <v>45678</v>
      </c>
      <c r="G2" s="6"/>
      <c r="H2" s="5">
        <v>45679</v>
      </c>
      <c r="I2" s="6"/>
      <c r="J2" s="5">
        <v>45680</v>
      </c>
      <c r="K2" s="6"/>
      <c r="L2" s="5">
        <v>45681</v>
      </c>
      <c r="M2" s="6"/>
      <c r="N2" s="5">
        <v>45682</v>
      </c>
      <c r="O2" s="7"/>
      <c r="P2" s="3"/>
    </row>
    <row r="3" spans="1:21" ht="63" customHeight="1">
      <c r="A3" s="8" t="s">
        <v>9</v>
      </c>
      <c r="B3" s="9"/>
      <c r="C3" s="10"/>
      <c r="D3" s="9"/>
      <c r="E3" s="10"/>
      <c r="F3" s="9"/>
      <c r="G3" s="11"/>
      <c r="H3" s="267" t="s">
        <v>1244</v>
      </c>
      <c r="I3" s="10"/>
      <c r="J3" s="9"/>
      <c r="K3" s="10"/>
      <c r="L3" s="9"/>
      <c r="M3" s="13"/>
      <c r="N3" s="14"/>
      <c r="O3" s="15"/>
      <c r="P3" s="3"/>
    </row>
    <row r="4" spans="1:21">
      <c r="A4" s="16" t="s">
        <v>14</v>
      </c>
      <c r="B4" s="19" t="s">
        <v>1245</v>
      </c>
      <c r="C4" s="18">
        <v>8.5</v>
      </c>
      <c r="D4" s="19" t="s">
        <v>907</v>
      </c>
      <c r="E4" s="18">
        <v>8.5</v>
      </c>
      <c r="F4" s="19" t="s">
        <v>16</v>
      </c>
      <c r="G4" s="18">
        <v>8</v>
      </c>
      <c r="H4" s="19" t="s">
        <v>1246</v>
      </c>
      <c r="I4" s="18">
        <v>10</v>
      </c>
      <c r="J4" s="19" t="s">
        <v>345</v>
      </c>
      <c r="K4" s="18">
        <v>7</v>
      </c>
      <c r="L4" s="94" t="s">
        <v>17</v>
      </c>
      <c r="M4" s="18"/>
      <c r="N4" s="18" t="s">
        <v>17</v>
      </c>
      <c r="O4" s="18"/>
      <c r="P4" s="3">
        <f t="shared" ref="P4:P18" si="0">SUM(O4,M4,K4,I4,G4,E4,C4)</f>
        <v>42</v>
      </c>
    </row>
    <row r="5" spans="1:21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21" ht="28.9">
      <c r="A6" s="163" t="s">
        <v>712</v>
      </c>
      <c r="B6" s="56" t="s">
        <v>1247</v>
      </c>
      <c r="C6" s="48">
        <v>5</v>
      </c>
      <c r="D6" s="56" t="s">
        <v>1248</v>
      </c>
      <c r="E6" s="48">
        <v>7.5</v>
      </c>
      <c r="F6" s="56" t="s">
        <v>1249</v>
      </c>
      <c r="G6" s="48">
        <v>8.5</v>
      </c>
      <c r="H6" s="56" t="s">
        <v>1250</v>
      </c>
      <c r="I6" s="48">
        <v>8.5</v>
      </c>
      <c r="J6" s="265"/>
      <c r="K6" s="48"/>
      <c r="L6" s="56" t="s">
        <v>1251</v>
      </c>
      <c r="M6" s="48">
        <v>6.5</v>
      </c>
      <c r="N6" s="18" t="s">
        <v>17</v>
      </c>
      <c r="O6" s="18"/>
      <c r="P6" s="3">
        <f t="shared" si="0"/>
        <v>36</v>
      </c>
    </row>
    <row r="7" spans="1:21" ht="28.9">
      <c r="A7" s="60" t="s">
        <v>716</v>
      </c>
      <c r="B7" s="82" t="s">
        <v>533</v>
      </c>
      <c r="C7" s="18">
        <v>9.5</v>
      </c>
      <c r="D7" s="82" t="s">
        <v>1252</v>
      </c>
      <c r="E7" s="18">
        <v>7.5</v>
      </c>
      <c r="F7" s="85"/>
      <c r="G7" s="18"/>
      <c r="H7" s="48" t="s">
        <v>1253</v>
      </c>
      <c r="I7" s="48">
        <v>7</v>
      </c>
      <c r="J7" s="85" t="s">
        <v>1141</v>
      </c>
      <c r="K7" s="18">
        <v>8.5</v>
      </c>
      <c r="L7" s="48" t="s">
        <v>1254</v>
      </c>
      <c r="M7" s="48">
        <v>7.5</v>
      </c>
      <c r="N7" s="18" t="s">
        <v>17</v>
      </c>
      <c r="O7" s="18"/>
      <c r="P7" s="3">
        <f t="shared" si="0"/>
        <v>40</v>
      </c>
    </row>
    <row r="8" spans="1:21" ht="28.9">
      <c r="A8" s="163" t="s">
        <v>710</v>
      </c>
      <c r="B8" s="56" t="s">
        <v>1021</v>
      </c>
      <c r="C8" s="48">
        <v>7.5</v>
      </c>
      <c r="D8" s="56" t="s">
        <v>1015</v>
      </c>
      <c r="E8" s="48">
        <v>7.5</v>
      </c>
      <c r="F8" s="56" t="s">
        <v>1255</v>
      </c>
      <c r="G8" s="48">
        <v>6.5</v>
      </c>
      <c r="H8" s="56"/>
      <c r="I8" s="48"/>
      <c r="J8" s="56" t="s">
        <v>1256</v>
      </c>
      <c r="K8" s="48">
        <v>9.5</v>
      </c>
      <c r="L8" s="56" t="s">
        <v>1257</v>
      </c>
      <c r="M8" s="48">
        <v>7</v>
      </c>
      <c r="N8" s="18" t="s">
        <v>17</v>
      </c>
      <c r="O8" s="18"/>
      <c r="P8" s="3">
        <f t="shared" si="0"/>
        <v>38</v>
      </c>
    </row>
    <row r="9" spans="1:21" ht="28.9">
      <c r="A9" s="163" t="s">
        <v>719</v>
      </c>
      <c r="B9" s="45" t="s">
        <v>1258</v>
      </c>
      <c r="C9" s="48">
        <v>7.5</v>
      </c>
      <c r="D9" s="45" t="s">
        <v>1259</v>
      </c>
      <c r="E9" s="48">
        <v>5</v>
      </c>
      <c r="F9" s="45" t="s">
        <v>1260</v>
      </c>
      <c r="G9" s="48">
        <v>5</v>
      </c>
      <c r="H9" s="133" t="s">
        <v>1261</v>
      </c>
      <c r="I9" s="48">
        <v>4</v>
      </c>
      <c r="J9" s="45" t="s">
        <v>1262</v>
      </c>
      <c r="K9" s="48">
        <v>7.5</v>
      </c>
      <c r="L9" s="48"/>
      <c r="M9" s="48"/>
      <c r="N9" s="18" t="s">
        <v>17</v>
      </c>
      <c r="O9" s="18"/>
      <c r="P9" s="3">
        <f t="shared" si="0"/>
        <v>29</v>
      </c>
      <c r="R9" s="121" t="s">
        <v>31</v>
      </c>
      <c r="S9" s="121" t="s">
        <v>32</v>
      </c>
      <c r="T9" s="121" t="s">
        <v>33</v>
      </c>
      <c r="U9" s="121"/>
    </row>
    <row r="10" spans="1:21" ht="28.9">
      <c r="A10" s="163" t="s">
        <v>725</v>
      </c>
      <c r="B10" s="56" t="s">
        <v>1263</v>
      </c>
      <c r="C10" s="48">
        <v>6.5</v>
      </c>
      <c r="D10" s="262" t="s">
        <v>420</v>
      </c>
      <c r="E10" s="48">
        <v>3</v>
      </c>
      <c r="F10" s="227"/>
      <c r="G10" s="48"/>
      <c r="H10" s="56" t="s">
        <v>1264</v>
      </c>
      <c r="I10" s="48">
        <v>6.5</v>
      </c>
      <c r="J10" s="56" t="s">
        <v>1265</v>
      </c>
      <c r="K10" s="48">
        <v>7.5</v>
      </c>
      <c r="L10" s="211" t="s">
        <v>1266</v>
      </c>
      <c r="M10" s="48">
        <v>8</v>
      </c>
      <c r="N10" s="18" t="s">
        <v>17</v>
      </c>
      <c r="O10" s="18"/>
      <c r="P10" s="3">
        <f>SUM(O10,M10,K10,I10,G10,E10,C10)</f>
        <v>31.5</v>
      </c>
      <c r="R10" s="121"/>
      <c r="S10" s="121"/>
      <c r="T10" s="260"/>
      <c r="U10" s="121" t="s">
        <v>39</v>
      </c>
    </row>
    <row r="11" spans="1:21" ht="43.15">
      <c r="A11" s="45" t="s">
        <v>730</v>
      </c>
      <c r="B11" s="45" t="s">
        <v>1267</v>
      </c>
      <c r="C11" s="48">
        <v>8.5</v>
      </c>
      <c r="D11" s="45" t="s">
        <v>1268</v>
      </c>
      <c r="E11" s="48">
        <v>5</v>
      </c>
      <c r="F11" s="45" t="s">
        <v>1269</v>
      </c>
      <c r="G11" s="48">
        <v>4</v>
      </c>
      <c r="H11" s="45"/>
      <c r="I11" s="48"/>
      <c r="J11" s="82" t="s">
        <v>731</v>
      </c>
      <c r="K11" s="18">
        <v>5</v>
      </c>
      <c r="L11" s="45" t="s">
        <v>1267</v>
      </c>
      <c r="M11" s="48">
        <v>8.5</v>
      </c>
      <c r="N11" s="18" t="s">
        <v>17</v>
      </c>
      <c r="O11" s="18"/>
      <c r="P11" s="3">
        <f t="shared" ref="P11" si="1">SUM(O11,M11,K11,I11,G11,E11,C11)</f>
        <v>31</v>
      </c>
      <c r="R11" s="121"/>
      <c r="S11" s="121"/>
      <c r="T11" s="260"/>
      <c r="U11" s="121" t="s">
        <v>45</v>
      </c>
    </row>
    <row r="12" spans="1:21" ht="28.9">
      <c r="A12" s="163" t="s">
        <v>694</v>
      </c>
      <c r="B12" s="56" t="s">
        <v>1270</v>
      </c>
      <c r="C12" s="48">
        <v>7.5</v>
      </c>
      <c r="D12" s="56" t="s">
        <v>1271</v>
      </c>
      <c r="E12" s="48">
        <v>7.5</v>
      </c>
      <c r="F12" s="257" t="s">
        <v>1272</v>
      </c>
      <c r="G12" s="48">
        <v>8</v>
      </c>
      <c r="H12" s="133" t="s">
        <v>1273</v>
      </c>
      <c r="I12" s="48">
        <v>4</v>
      </c>
      <c r="J12" s="227"/>
      <c r="K12" s="48"/>
      <c r="L12" s="38"/>
      <c r="M12" s="47"/>
      <c r="N12" s="18" t="s">
        <v>17</v>
      </c>
      <c r="O12" s="18"/>
      <c r="P12" s="3">
        <f t="shared" si="0"/>
        <v>27</v>
      </c>
      <c r="R12" s="121"/>
      <c r="S12" s="121"/>
      <c r="T12" s="121"/>
      <c r="U12" s="121" t="s">
        <v>50</v>
      </c>
    </row>
    <row r="13" spans="1:21" ht="56.25" customHeight="1">
      <c r="A13" s="163" t="s">
        <v>214</v>
      </c>
      <c r="B13" s="33" t="s">
        <v>1274</v>
      </c>
      <c r="C13" s="48">
        <v>6.5</v>
      </c>
      <c r="D13" s="45" t="s">
        <v>1275</v>
      </c>
      <c r="E13" s="48">
        <v>6.5</v>
      </c>
      <c r="F13" s="45" t="s">
        <v>1275</v>
      </c>
      <c r="G13" s="48">
        <v>6.5</v>
      </c>
      <c r="H13" s="129" t="s">
        <v>1276</v>
      </c>
      <c r="I13" s="48">
        <v>3.5</v>
      </c>
      <c r="J13" s="18"/>
      <c r="K13" s="48"/>
      <c r="L13" s="45" t="s">
        <v>1277</v>
      </c>
      <c r="M13" s="48">
        <v>6.5</v>
      </c>
      <c r="N13" s="18" t="s">
        <v>17</v>
      </c>
      <c r="O13" s="18"/>
      <c r="P13" s="3">
        <f>SUM(O13,M13,K13,I13,G13,E13,C13)</f>
        <v>29.5</v>
      </c>
      <c r="R13" s="121"/>
      <c r="S13" s="121"/>
      <c r="T13" s="121"/>
      <c r="U13" s="121" t="s">
        <v>601</v>
      </c>
    </row>
    <row r="14" spans="1:21" ht="41.45" customHeight="1">
      <c r="A14" s="128" t="s">
        <v>698</v>
      </c>
      <c r="B14" s="38"/>
      <c r="C14" s="48"/>
      <c r="D14" s="153" t="s">
        <v>526</v>
      </c>
      <c r="E14" s="48">
        <v>6.5</v>
      </c>
      <c r="F14" s="48" t="s">
        <v>54</v>
      </c>
      <c r="G14" s="48">
        <v>7.5</v>
      </c>
      <c r="H14" s="48" t="s">
        <v>526</v>
      </c>
      <c r="I14" s="48">
        <v>6.5</v>
      </c>
      <c r="J14" s="30" t="s">
        <v>1278</v>
      </c>
      <c r="K14" s="48">
        <v>5.5</v>
      </c>
      <c r="L14" s="38"/>
      <c r="M14" s="48"/>
      <c r="N14" s="18" t="s">
        <v>17</v>
      </c>
      <c r="O14" s="18"/>
      <c r="P14" s="3">
        <f t="shared" ref="P14" si="2">SUM(O14,M14,K14,I14,G14,E14,C14)</f>
        <v>26</v>
      </c>
      <c r="R14" s="121"/>
      <c r="S14" s="121"/>
      <c r="T14" s="121"/>
      <c r="U14" s="121" t="s">
        <v>58</v>
      </c>
    </row>
    <row r="15" spans="1:21" ht="43.15">
      <c r="A15" s="128" t="s">
        <v>704</v>
      </c>
      <c r="B15" s="48" t="s">
        <v>1279</v>
      </c>
      <c r="C15" s="48">
        <v>5</v>
      </c>
      <c r="D15" s="38"/>
      <c r="E15" s="48"/>
      <c r="F15" s="48" t="s">
        <v>1280</v>
      </c>
      <c r="G15" s="48">
        <v>8</v>
      </c>
      <c r="H15" s="48" t="s">
        <v>533</v>
      </c>
      <c r="I15" s="48">
        <v>9.5</v>
      </c>
      <c r="J15" s="45" t="s">
        <v>1281</v>
      </c>
      <c r="K15" s="48">
        <v>9</v>
      </c>
      <c r="L15" s="48"/>
      <c r="M15" s="48"/>
      <c r="N15" s="18" t="s">
        <v>17</v>
      </c>
      <c r="O15" s="18"/>
      <c r="P15" s="3">
        <f>SUM(O15,M15,K15,I15,G15,E15,C15)</f>
        <v>31.5</v>
      </c>
      <c r="R15" s="121"/>
      <c r="S15" s="121"/>
      <c r="T15" s="121"/>
      <c r="U15" s="121"/>
    </row>
    <row r="16" spans="1:21" ht="28.9">
      <c r="A16" s="128" t="s">
        <v>701</v>
      </c>
      <c r="B16" s="38"/>
      <c r="C16" s="48"/>
      <c r="D16" s="81" t="s">
        <v>816</v>
      </c>
      <c r="E16" s="48">
        <v>5</v>
      </c>
      <c r="F16" s="81" t="s">
        <v>807</v>
      </c>
      <c r="G16" s="48"/>
      <c r="H16" s="81" t="s">
        <v>807</v>
      </c>
      <c r="I16" s="48"/>
      <c r="J16" s="81" t="s">
        <v>807</v>
      </c>
      <c r="K16" s="48"/>
      <c r="L16" s="45" t="s">
        <v>1282</v>
      </c>
      <c r="M16" s="48">
        <v>5</v>
      </c>
      <c r="N16" s="18" t="s">
        <v>17</v>
      </c>
      <c r="O16" s="18"/>
      <c r="P16" s="3">
        <f t="shared" ref="P16" si="3">SUM(O16,M16,K16,I16,G16,E16,C16)</f>
        <v>10</v>
      </c>
      <c r="R16" s="121"/>
      <c r="S16" s="121"/>
      <c r="T16" s="121"/>
      <c r="U16" s="121"/>
    </row>
    <row r="17" spans="1:21" ht="28.9">
      <c r="A17" s="45" t="s">
        <v>1283</v>
      </c>
      <c r="B17" s="82" t="s">
        <v>1284</v>
      </c>
      <c r="C17" s="18">
        <v>6.5</v>
      </c>
      <c r="D17" s="82"/>
      <c r="E17" s="18"/>
      <c r="F17" s="82" t="s">
        <v>1284</v>
      </c>
      <c r="G17" s="18">
        <v>6.5</v>
      </c>
      <c r="H17" s="85" t="s">
        <v>1285</v>
      </c>
      <c r="I17" s="18">
        <v>4.5</v>
      </c>
      <c r="J17" s="82"/>
      <c r="K17" s="18"/>
      <c r="L17" s="268"/>
      <c r="M17" s="18"/>
      <c r="N17" s="18" t="s">
        <v>17</v>
      </c>
      <c r="O17" s="18"/>
      <c r="P17" s="3">
        <f t="shared" si="0"/>
        <v>17.5</v>
      </c>
      <c r="R17" s="121"/>
      <c r="S17" s="121"/>
      <c r="T17" s="121"/>
      <c r="U17" s="121"/>
    </row>
    <row r="18" spans="1:21" ht="63.75" customHeight="1">
      <c r="A18" s="45" t="s">
        <v>1286</v>
      </c>
      <c r="B18" s="82"/>
      <c r="C18" s="18"/>
      <c r="D18" s="82" t="s">
        <v>1284</v>
      </c>
      <c r="E18" s="18">
        <v>6.5</v>
      </c>
      <c r="F18" s="85"/>
      <c r="G18" s="18"/>
      <c r="H18" s="269" t="s">
        <v>1287</v>
      </c>
      <c r="I18" s="18">
        <v>4</v>
      </c>
      <c r="J18" s="274" t="s">
        <v>1288</v>
      </c>
      <c r="K18" s="18">
        <v>5</v>
      </c>
      <c r="L18" s="268"/>
      <c r="M18" s="18"/>
      <c r="N18" s="18" t="s">
        <v>17</v>
      </c>
      <c r="O18" s="18"/>
      <c r="P18" s="3">
        <f t="shared" si="0"/>
        <v>15.5</v>
      </c>
    </row>
    <row r="19" spans="1:21">
      <c r="A19" s="52" t="s">
        <v>95</v>
      </c>
      <c r="B19" s="3"/>
      <c r="C19" s="3">
        <f>SUM(C9:C16)</f>
        <v>41.5</v>
      </c>
      <c r="D19" s="3"/>
      <c r="E19" s="3">
        <f>SUM(E6:E18)</f>
        <v>67.5</v>
      </c>
      <c r="F19" s="3"/>
      <c r="G19" s="3">
        <f>SUM(G6:G18)</f>
        <v>60.5</v>
      </c>
      <c r="H19" s="3"/>
      <c r="I19" s="3">
        <f>SUM(I6:I18)</f>
        <v>58</v>
      </c>
      <c r="J19" s="3"/>
      <c r="K19" s="3">
        <f>SUM(K6:K18)</f>
        <v>57.5</v>
      </c>
      <c r="L19" s="3"/>
      <c r="M19" s="3">
        <f>SUM(M6:M18)</f>
        <v>49</v>
      </c>
      <c r="N19" s="3"/>
      <c r="O19" s="3">
        <f>SUM(O6:O18)</f>
        <v>0</v>
      </c>
      <c r="P19" s="3">
        <f>SUM(O19,M19,K19,I19,G19,E19,C19)</f>
        <v>334</v>
      </c>
    </row>
    <row r="20" spans="1:21">
      <c r="C20">
        <f>C19*20</f>
        <v>830</v>
      </c>
      <c r="E20">
        <f>E19*20</f>
        <v>1350</v>
      </c>
      <c r="G20">
        <f>G19*20</f>
        <v>1210</v>
      </c>
      <c r="I20">
        <f>I19*20</f>
        <v>1160</v>
      </c>
      <c r="K20">
        <f>K19*20</f>
        <v>1150</v>
      </c>
      <c r="M20">
        <f>M19*20</f>
        <v>980</v>
      </c>
    </row>
    <row r="22" spans="1:21" ht="15" thickBot="1">
      <c r="A22" s="264" t="s">
        <v>96</v>
      </c>
      <c r="B22" s="264"/>
      <c r="C22" s="117"/>
      <c r="D22" s="121"/>
      <c r="Q22">
        <f>P19*20</f>
        <v>6680</v>
      </c>
    </row>
    <row r="23" spans="1:21" ht="18.600000000000001" thickBot="1">
      <c r="A23" s="145" t="s">
        <v>97</v>
      </c>
      <c r="D23" s="434" t="s">
        <v>98</v>
      </c>
      <c r="E23" s="435"/>
      <c r="F23" s="435"/>
      <c r="G23" s="435"/>
      <c r="H23" s="435"/>
      <c r="I23" s="435"/>
      <c r="J23" s="436"/>
    </row>
    <row r="24" spans="1:21" ht="18">
      <c r="A24" s="146" t="s">
        <v>99</v>
      </c>
      <c r="D24" s="174" t="s">
        <v>100</v>
      </c>
      <c r="E24" s="175"/>
      <c r="F24" s="175" t="s">
        <v>101</v>
      </c>
      <c r="G24" s="175"/>
      <c r="H24" s="175" t="s">
        <v>102</v>
      </c>
      <c r="I24" s="175"/>
      <c r="J24" s="176" t="s">
        <v>103</v>
      </c>
    </row>
    <row r="25" spans="1:21" ht="18.600000000000001" thickBot="1">
      <c r="A25" s="147" t="s">
        <v>104</v>
      </c>
      <c r="D25" s="177" t="s">
        <v>105</v>
      </c>
      <c r="E25" s="178"/>
      <c r="F25" s="178" t="s">
        <v>106</v>
      </c>
      <c r="G25" s="178"/>
      <c r="H25" s="178" t="s">
        <v>107</v>
      </c>
      <c r="I25" s="178"/>
      <c r="J25" s="179" t="s">
        <v>108</v>
      </c>
    </row>
    <row r="26" spans="1:21" ht="18.600000000000001" thickBot="1">
      <c r="A26" s="148" t="s">
        <v>109</v>
      </c>
      <c r="D26" s="175" t="s">
        <v>110</v>
      </c>
      <c r="E26" s="175"/>
      <c r="F26" s="175"/>
      <c r="G26" s="175"/>
      <c r="H26" s="175"/>
      <c r="I26" s="175"/>
      <c r="J26" s="175"/>
    </row>
    <row r="27" spans="1:21" ht="18.600000000000001" thickBot="1">
      <c r="A27" s="149" t="s">
        <v>111</v>
      </c>
      <c r="D27" s="434" t="s">
        <v>112</v>
      </c>
      <c r="E27" s="435"/>
      <c r="F27" s="435"/>
      <c r="G27" s="435"/>
      <c r="H27" s="435"/>
      <c r="I27" s="435"/>
      <c r="J27" s="436"/>
      <c r="T27" t="s">
        <v>110</v>
      </c>
    </row>
    <row r="28" spans="1:21" ht="18">
      <c r="A28" s="150" t="s">
        <v>113</v>
      </c>
      <c r="D28" s="437" t="s">
        <v>114</v>
      </c>
      <c r="E28" s="438"/>
      <c r="F28" s="438"/>
      <c r="G28" s="438"/>
      <c r="H28" s="438"/>
      <c r="I28" s="438"/>
      <c r="J28" s="439"/>
    </row>
    <row r="29" spans="1:21" ht="18">
      <c r="A29" s="151" t="s">
        <v>115</v>
      </c>
      <c r="D29" s="437" t="s">
        <v>116</v>
      </c>
      <c r="E29" s="438"/>
      <c r="F29" s="438"/>
      <c r="G29" s="438"/>
      <c r="H29" s="438"/>
      <c r="I29" s="438"/>
      <c r="J29" s="439"/>
    </row>
    <row r="30" spans="1:21" ht="18">
      <c r="A30" s="152" t="s">
        <v>117</v>
      </c>
      <c r="D30" s="437" t="s">
        <v>118</v>
      </c>
      <c r="E30" s="438"/>
      <c r="F30" s="438"/>
      <c r="G30" s="438"/>
      <c r="H30" s="438"/>
      <c r="I30" s="438"/>
      <c r="J30" s="439"/>
    </row>
    <row r="31" spans="1:21" ht="15" thickBot="1">
      <c r="D31" s="431" t="s">
        <v>119</v>
      </c>
      <c r="E31" s="432"/>
      <c r="F31" s="432"/>
      <c r="G31" s="432"/>
      <c r="H31" s="432"/>
      <c r="I31" s="432"/>
      <c r="J31" s="433"/>
    </row>
  </sheetData>
  <mergeCells count="6">
    <mergeCell ref="D31:J31"/>
    <mergeCell ref="D23:J23"/>
    <mergeCell ref="D27:J27"/>
    <mergeCell ref="D28:J28"/>
    <mergeCell ref="D29:J29"/>
    <mergeCell ref="D30:J30"/>
  </mergeCells>
  <phoneticPr fontId="77" type="noConversion"/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BB7A-8ACE-4565-A6C3-37D282AA6FA2}">
  <sheetPr>
    <tabColor theme="9"/>
  </sheetPr>
  <dimension ref="A1:U33"/>
  <sheetViews>
    <sheetView zoomScale="70" zoomScaleNormal="70" workbookViewId="0">
      <selection activeCell="P7" sqref="P7"/>
    </sheetView>
  </sheetViews>
  <sheetFormatPr defaultRowHeight="14.45"/>
  <cols>
    <col min="1" max="1" width="26.28515625" customWidth="1"/>
    <col min="2" max="2" width="19.5703125" customWidth="1"/>
    <col min="3" max="3" width="7.28515625" bestFit="1" customWidth="1"/>
    <col min="4" max="4" width="20" customWidth="1"/>
    <col min="5" max="5" width="7.28515625" bestFit="1" customWidth="1"/>
    <col min="6" max="6" width="20" bestFit="1" customWidth="1"/>
    <col min="7" max="7" width="6.28515625" customWidth="1"/>
    <col min="8" max="8" width="20.85546875" bestFit="1" customWidth="1"/>
    <col min="9" max="9" width="6.570312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9.28515625" bestFit="1" customWidth="1"/>
    <col min="15" max="15" width="4" customWidth="1"/>
    <col min="16" max="16" width="7.140625" customWidth="1"/>
    <col min="21" max="21" width="19.570312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45669</v>
      </c>
      <c r="C2" s="6"/>
      <c r="D2" s="5">
        <v>45670</v>
      </c>
      <c r="E2" s="6"/>
      <c r="F2" s="5">
        <v>45671</v>
      </c>
      <c r="G2" s="6"/>
      <c r="H2" s="5">
        <v>45672</v>
      </c>
      <c r="I2" s="6"/>
      <c r="J2" s="5">
        <v>45673</v>
      </c>
      <c r="K2" s="6"/>
      <c r="L2" s="5">
        <v>45674</v>
      </c>
      <c r="M2" s="6"/>
      <c r="N2" s="5">
        <v>45675</v>
      </c>
      <c r="O2" s="7"/>
      <c r="P2" s="3"/>
    </row>
    <row r="3" spans="1:21" ht="79.5" customHeight="1">
      <c r="A3" s="8" t="s">
        <v>9</v>
      </c>
      <c r="B3" s="9" t="s">
        <v>1289</v>
      </c>
      <c r="C3" s="10"/>
      <c r="D3" s="62" t="s">
        <v>1290</v>
      </c>
      <c r="E3" s="10"/>
      <c r="F3" s="9" t="s">
        <v>1291</v>
      </c>
      <c r="G3" s="11"/>
      <c r="H3" s="92"/>
      <c r="I3" s="10"/>
      <c r="J3" s="270" t="s">
        <v>1292</v>
      </c>
      <c r="K3" s="10"/>
      <c r="L3" s="9"/>
      <c r="M3" s="13"/>
      <c r="N3" s="14"/>
      <c r="O3" s="15"/>
      <c r="P3" s="3"/>
    </row>
    <row r="4" spans="1:21">
      <c r="A4" s="16" t="s">
        <v>14</v>
      </c>
      <c r="B4" s="19" t="s">
        <v>1293</v>
      </c>
      <c r="C4" s="18">
        <v>8</v>
      </c>
      <c r="D4" s="19" t="s">
        <v>340</v>
      </c>
      <c r="E4" s="18">
        <v>11.5</v>
      </c>
      <c r="F4" s="19" t="s">
        <v>1294</v>
      </c>
      <c r="G4" s="18">
        <v>12.5</v>
      </c>
      <c r="H4" s="19" t="s">
        <v>1295</v>
      </c>
      <c r="I4" s="18">
        <v>15</v>
      </c>
      <c r="J4" s="19" t="s">
        <v>17</v>
      </c>
      <c r="K4" s="18"/>
      <c r="L4" s="271" t="s">
        <v>17</v>
      </c>
      <c r="M4" s="18"/>
      <c r="N4" s="18" t="s">
        <v>17</v>
      </c>
      <c r="O4" s="18"/>
      <c r="P4" s="3">
        <f t="shared" ref="P4:P20" si="0">SUM(O4,M4,K4,I4,G4,E4,C4)</f>
        <v>47</v>
      </c>
    </row>
    <row r="5" spans="1:21">
      <c r="A5" s="22" t="s">
        <v>18</v>
      </c>
      <c r="B5" s="26" t="s">
        <v>1296</v>
      </c>
      <c r="C5" s="48">
        <v>8</v>
      </c>
      <c r="D5" s="26" t="s">
        <v>753</v>
      </c>
      <c r="E5" s="48">
        <v>9</v>
      </c>
      <c r="F5" s="26" t="s">
        <v>16</v>
      </c>
      <c r="G5" s="48">
        <v>8</v>
      </c>
      <c r="H5" s="26" t="s">
        <v>1297</v>
      </c>
      <c r="I5" s="48">
        <v>8</v>
      </c>
      <c r="J5" s="26" t="s">
        <v>345</v>
      </c>
      <c r="K5" s="48">
        <v>7</v>
      </c>
      <c r="L5" s="24" t="s">
        <v>17</v>
      </c>
      <c r="M5" s="51"/>
      <c r="N5" s="24"/>
      <c r="O5" s="18"/>
      <c r="P5" s="3">
        <f t="shared" si="0"/>
        <v>40</v>
      </c>
    </row>
    <row r="6" spans="1:21">
      <c r="A6" s="128" t="s">
        <v>1298</v>
      </c>
      <c r="B6" s="45" t="s">
        <v>1299</v>
      </c>
      <c r="C6" s="48">
        <v>7.5</v>
      </c>
      <c r="D6" s="265"/>
      <c r="E6" s="48"/>
      <c r="F6" s="265"/>
      <c r="G6" s="48"/>
      <c r="H6" s="265"/>
      <c r="I6" s="48"/>
      <c r="J6" s="265"/>
      <c r="K6" s="48"/>
      <c r="L6" s="38"/>
      <c r="M6" s="51"/>
      <c r="N6" s="38"/>
      <c r="O6" s="18"/>
      <c r="P6" s="3">
        <v>7.5</v>
      </c>
    </row>
    <row r="7" spans="1:21" ht="65.45" customHeight="1">
      <c r="A7" s="163" t="s">
        <v>719</v>
      </c>
      <c r="B7" s="45" t="s">
        <v>1300</v>
      </c>
      <c r="C7" s="48">
        <v>7</v>
      </c>
      <c r="D7" s="45" t="s">
        <v>1301</v>
      </c>
      <c r="E7" s="48">
        <v>8.5</v>
      </c>
      <c r="F7" s="45" t="s">
        <v>1302</v>
      </c>
      <c r="G7" s="48">
        <v>7.5</v>
      </c>
      <c r="H7" s="155" t="s">
        <v>1303</v>
      </c>
      <c r="I7" s="48">
        <v>6</v>
      </c>
      <c r="J7" s="45" t="s">
        <v>1304</v>
      </c>
      <c r="K7" s="48">
        <v>5.5</v>
      </c>
      <c r="L7" s="48"/>
      <c r="M7" s="48"/>
      <c r="N7" s="18" t="s">
        <v>17</v>
      </c>
      <c r="O7" s="18"/>
      <c r="P7" s="3">
        <f t="shared" si="0"/>
        <v>34.5</v>
      </c>
      <c r="R7" s="121" t="s">
        <v>31</v>
      </c>
      <c r="S7" s="121" t="s">
        <v>32</v>
      </c>
      <c r="T7" s="121" t="s">
        <v>33</v>
      </c>
      <c r="U7" s="121"/>
    </row>
    <row r="8" spans="1:21" ht="68.25" customHeight="1">
      <c r="A8" s="163" t="s">
        <v>214</v>
      </c>
      <c r="B8" s="33" t="s">
        <v>1305</v>
      </c>
      <c r="C8" s="48">
        <v>6.5</v>
      </c>
      <c r="D8" s="45" t="s">
        <v>1306</v>
      </c>
      <c r="E8" s="48">
        <v>8</v>
      </c>
      <c r="F8" s="45" t="s">
        <v>1307</v>
      </c>
      <c r="G8" s="48">
        <v>7</v>
      </c>
      <c r="H8" s="129"/>
      <c r="I8" s="48"/>
      <c r="J8" s="18" t="s">
        <v>1308</v>
      </c>
      <c r="K8" s="48">
        <v>7</v>
      </c>
      <c r="L8" s="45" t="s">
        <v>1309</v>
      </c>
      <c r="M8" s="48">
        <v>9.5</v>
      </c>
      <c r="N8" s="18" t="s">
        <v>17</v>
      </c>
      <c r="O8" s="18"/>
      <c r="P8" s="3">
        <f t="shared" si="0"/>
        <v>38</v>
      </c>
      <c r="R8" s="121"/>
      <c r="S8" s="121"/>
      <c r="T8" s="260"/>
      <c r="U8" s="121" t="s">
        <v>39</v>
      </c>
    </row>
    <row r="9" spans="1:21" ht="28.9">
      <c r="A9" s="163" t="s">
        <v>694</v>
      </c>
      <c r="B9" s="56" t="s">
        <v>1310</v>
      </c>
      <c r="C9" s="48">
        <v>7</v>
      </c>
      <c r="D9" s="56" t="s">
        <v>1311</v>
      </c>
      <c r="E9" s="48">
        <v>7.5</v>
      </c>
      <c r="F9" s="261" t="s">
        <v>1312</v>
      </c>
      <c r="G9" s="48">
        <v>8.5</v>
      </c>
      <c r="H9" s="261" t="s">
        <v>1313</v>
      </c>
      <c r="I9" s="48">
        <v>4</v>
      </c>
      <c r="J9" s="227" t="s">
        <v>1314</v>
      </c>
      <c r="K9" s="48">
        <v>6</v>
      </c>
      <c r="L9" s="38"/>
      <c r="M9" s="47"/>
      <c r="N9" s="18" t="s">
        <v>17</v>
      </c>
      <c r="O9" s="18"/>
      <c r="P9" s="3">
        <f t="shared" si="0"/>
        <v>33</v>
      </c>
      <c r="R9" s="121"/>
      <c r="S9" s="121"/>
      <c r="T9" s="260"/>
      <c r="U9" s="121" t="s">
        <v>45</v>
      </c>
    </row>
    <row r="10" spans="1:21" ht="43.15">
      <c r="A10" s="163" t="s">
        <v>725</v>
      </c>
      <c r="B10" s="56" t="s">
        <v>1315</v>
      </c>
      <c r="C10" s="48">
        <v>5</v>
      </c>
      <c r="D10" s="262" t="s">
        <v>1316</v>
      </c>
      <c r="E10" s="48">
        <v>3</v>
      </c>
      <c r="F10" s="227" t="s">
        <v>1317</v>
      </c>
      <c r="G10" s="48">
        <v>9.5</v>
      </c>
      <c r="H10" s="60"/>
      <c r="I10" s="48"/>
      <c r="J10" s="56" t="s">
        <v>1318</v>
      </c>
      <c r="K10" s="18">
        <v>9.5</v>
      </c>
      <c r="L10" s="227" t="s">
        <v>1319</v>
      </c>
      <c r="M10" s="48">
        <v>8.5</v>
      </c>
      <c r="N10" s="18" t="s">
        <v>17</v>
      </c>
      <c r="O10" s="18"/>
      <c r="P10" s="3">
        <f t="shared" si="0"/>
        <v>35.5</v>
      </c>
      <c r="R10" s="121"/>
      <c r="S10" s="121"/>
      <c r="T10" s="121"/>
      <c r="U10" s="121" t="s">
        <v>50</v>
      </c>
    </row>
    <row r="11" spans="1:21" ht="28.9">
      <c r="A11" s="128" t="s">
        <v>698</v>
      </c>
      <c r="B11" s="153" t="s">
        <v>1320</v>
      </c>
      <c r="C11" s="48"/>
      <c r="D11" s="153" t="s">
        <v>1321</v>
      </c>
      <c r="E11" s="48">
        <v>6.5</v>
      </c>
      <c r="F11" s="48" t="s">
        <v>1322</v>
      </c>
      <c r="G11" s="48">
        <v>9.5</v>
      </c>
      <c r="H11" s="48" t="s">
        <v>1214</v>
      </c>
      <c r="I11" s="48"/>
      <c r="J11" s="30" t="s">
        <v>1323</v>
      </c>
      <c r="K11" s="48">
        <v>6</v>
      </c>
      <c r="L11" s="48"/>
      <c r="M11" s="48"/>
      <c r="N11" s="18" t="s">
        <v>17</v>
      </c>
      <c r="O11" s="18"/>
      <c r="P11" s="3">
        <f t="shared" si="0"/>
        <v>22</v>
      </c>
      <c r="R11" s="121"/>
      <c r="S11" s="121"/>
      <c r="T11" s="121"/>
      <c r="U11" s="121" t="s">
        <v>601</v>
      </c>
    </row>
    <row r="12" spans="1:21" ht="28.9">
      <c r="A12" s="128" t="s">
        <v>701</v>
      </c>
      <c r="B12" s="38"/>
      <c r="C12" s="48"/>
      <c r="D12" s="81" t="s">
        <v>1324</v>
      </c>
      <c r="E12" s="48"/>
      <c r="F12" s="48" t="s">
        <v>1325</v>
      </c>
      <c r="G12" s="48">
        <v>5</v>
      </c>
      <c r="H12" s="81" t="s">
        <v>1214</v>
      </c>
      <c r="I12" s="48"/>
      <c r="J12" s="81" t="s">
        <v>589</v>
      </c>
      <c r="K12" s="48"/>
      <c r="L12" s="45" t="s">
        <v>1326</v>
      </c>
      <c r="M12" s="48">
        <v>9</v>
      </c>
      <c r="N12" s="18" t="s">
        <v>17</v>
      </c>
      <c r="O12" s="18"/>
      <c r="P12" s="3">
        <f t="shared" si="0"/>
        <v>14</v>
      </c>
      <c r="R12" s="121"/>
      <c r="S12" s="121"/>
      <c r="T12" s="121"/>
      <c r="U12" s="121" t="s">
        <v>58</v>
      </c>
    </row>
    <row r="13" spans="1:21" ht="28.9">
      <c r="A13" s="163" t="s">
        <v>710</v>
      </c>
      <c r="B13" s="56" t="s">
        <v>1327</v>
      </c>
      <c r="C13" s="48">
        <v>5</v>
      </c>
      <c r="D13" s="56" t="s">
        <v>1328</v>
      </c>
      <c r="E13" s="48">
        <v>5</v>
      </c>
      <c r="F13" s="56" t="s">
        <v>1095</v>
      </c>
      <c r="G13" s="48">
        <v>7.5</v>
      </c>
      <c r="H13" s="56" t="s">
        <v>1329</v>
      </c>
      <c r="I13" s="48">
        <v>5</v>
      </c>
      <c r="J13" s="56" t="s">
        <v>1328</v>
      </c>
      <c r="K13" s="48">
        <v>5</v>
      </c>
      <c r="L13" s="56" t="s">
        <v>1330</v>
      </c>
      <c r="M13" s="48">
        <v>7.5</v>
      </c>
      <c r="N13" s="18" t="s">
        <v>17</v>
      </c>
      <c r="O13" s="18"/>
      <c r="P13" s="3">
        <f t="shared" si="0"/>
        <v>35</v>
      </c>
      <c r="R13" s="121"/>
      <c r="S13" s="121"/>
      <c r="T13" s="121"/>
      <c r="U13" s="121"/>
    </row>
    <row r="14" spans="1:21" ht="30">
      <c r="A14" s="163" t="s">
        <v>712</v>
      </c>
      <c r="B14" s="266" t="s">
        <v>1331</v>
      </c>
      <c r="C14" s="48">
        <v>6.5</v>
      </c>
      <c r="D14" s="56" t="s">
        <v>1332</v>
      </c>
      <c r="E14" s="48">
        <v>7.5</v>
      </c>
      <c r="F14" s="56" t="s">
        <v>1333</v>
      </c>
      <c r="G14" s="48">
        <v>7.5</v>
      </c>
      <c r="H14" s="56" t="s">
        <v>1334</v>
      </c>
      <c r="I14" s="48">
        <v>7.5</v>
      </c>
      <c r="J14" s="56" t="s">
        <v>1335</v>
      </c>
      <c r="K14" s="48">
        <v>7.5</v>
      </c>
      <c r="L14" s="56" t="s">
        <v>1336</v>
      </c>
      <c r="M14" s="18">
        <v>7.5</v>
      </c>
      <c r="N14" s="18" t="s">
        <v>17</v>
      </c>
      <c r="O14" s="18"/>
      <c r="P14" s="3">
        <f t="shared" si="0"/>
        <v>44</v>
      </c>
      <c r="R14" s="121"/>
      <c r="S14" s="121"/>
      <c r="T14" s="121"/>
      <c r="U14" s="121"/>
    </row>
    <row r="15" spans="1:21" ht="72">
      <c r="A15" s="128" t="s">
        <v>704</v>
      </c>
      <c r="B15" s="48" t="s">
        <v>1337</v>
      </c>
      <c r="C15" s="48">
        <v>7.5</v>
      </c>
      <c r="D15" s="38"/>
      <c r="E15" s="48"/>
      <c r="F15" s="48" t="s">
        <v>1338</v>
      </c>
      <c r="G15" s="48">
        <v>9.5</v>
      </c>
      <c r="H15" s="48" t="s">
        <v>1214</v>
      </c>
      <c r="I15" s="48"/>
      <c r="J15" s="48" t="s">
        <v>1339</v>
      </c>
      <c r="K15" s="48">
        <v>5</v>
      </c>
      <c r="L15" s="48" t="s">
        <v>1340</v>
      </c>
      <c r="M15" s="48">
        <v>8</v>
      </c>
      <c r="N15" s="18" t="s">
        <v>17</v>
      </c>
      <c r="O15" s="18"/>
      <c r="P15" s="3">
        <f>SUM(O15,M15,K15,I15,G15,E15,C15)</f>
        <v>30</v>
      </c>
      <c r="R15" s="121"/>
      <c r="S15" s="121"/>
      <c r="T15" s="121"/>
      <c r="U15" s="121"/>
    </row>
    <row r="16" spans="1:21" ht="28.9">
      <c r="A16" s="45" t="s">
        <v>1341</v>
      </c>
      <c r="B16" s="82" t="s">
        <v>1342</v>
      </c>
      <c r="C16" s="18">
        <v>6.5</v>
      </c>
      <c r="D16" s="82" t="s">
        <v>1343</v>
      </c>
      <c r="E16" s="18">
        <v>7</v>
      </c>
      <c r="F16" s="85" t="s">
        <v>1344</v>
      </c>
      <c r="G16" s="18">
        <v>8.5</v>
      </c>
      <c r="H16" s="56" t="s">
        <v>1345</v>
      </c>
      <c r="I16" s="18">
        <v>8.5</v>
      </c>
      <c r="J16" s="85" t="s">
        <v>1346</v>
      </c>
      <c r="K16" s="18">
        <v>8.5</v>
      </c>
      <c r="L16" s="56"/>
      <c r="M16" s="51"/>
      <c r="N16" s="18" t="s">
        <v>17</v>
      </c>
      <c r="O16" s="18"/>
      <c r="P16" s="3">
        <f t="shared" si="0"/>
        <v>39</v>
      </c>
    </row>
    <row r="17" spans="1:20" ht="28.9">
      <c r="A17" s="45" t="s">
        <v>1347</v>
      </c>
      <c r="B17" s="82" t="s">
        <v>1348</v>
      </c>
      <c r="C17" s="18">
        <v>7.5</v>
      </c>
      <c r="D17" s="45" t="s">
        <v>1349</v>
      </c>
      <c r="E17" s="18">
        <v>5</v>
      </c>
      <c r="F17" s="85" t="s">
        <v>1350</v>
      </c>
      <c r="G17" s="18">
        <v>6.5</v>
      </c>
      <c r="H17" s="85" t="s">
        <v>1351</v>
      </c>
      <c r="I17" s="18">
        <v>7.5</v>
      </c>
      <c r="J17" s="263" t="s">
        <v>1352</v>
      </c>
      <c r="K17" s="18"/>
      <c r="L17" s="85"/>
      <c r="M17" s="18"/>
      <c r="N17" s="18" t="s">
        <v>17</v>
      </c>
      <c r="O17" s="18"/>
      <c r="P17" s="3">
        <f t="shared" si="0"/>
        <v>26.5</v>
      </c>
    </row>
    <row r="18" spans="1:20" ht="28.9">
      <c r="A18" s="45" t="s">
        <v>730</v>
      </c>
      <c r="B18" s="45" t="s">
        <v>1353</v>
      </c>
      <c r="C18" s="48">
        <v>9</v>
      </c>
      <c r="D18" s="48" t="s">
        <v>1354</v>
      </c>
      <c r="E18" s="48">
        <v>7.5</v>
      </c>
      <c r="F18" s="45" t="s">
        <v>1355</v>
      </c>
      <c r="G18" s="48">
        <v>7.5</v>
      </c>
      <c r="H18" s="85"/>
      <c r="I18" s="18"/>
      <c r="J18" s="141"/>
      <c r="K18" s="18"/>
      <c r="L18" s="85"/>
      <c r="M18" s="18"/>
      <c r="N18" s="18" t="s">
        <v>17</v>
      </c>
      <c r="O18" s="18"/>
      <c r="P18" s="3">
        <f t="shared" si="0"/>
        <v>24</v>
      </c>
    </row>
    <row r="19" spans="1:20" ht="46.5" customHeight="1">
      <c r="A19" s="45" t="s">
        <v>1356</v>
      </c>
      <c r="B19" s="82"/>
      <c r="C19" s="18"/>
      <c r="D19" s="82"/>
      <c r="E19" s="18"/>
      <c r="F19" s="85" t="s">
        <v>1357</v>
      </c>
      <c r="G19" s="18">
        <v>7</v>
      </c>
      <c r="H19" s="85" t="s">
        <v>1214</v>
      </c>
      <c r="I19" s="18"/>
      <c r="J19" s="82" t="s">
        <v>1358</v>
      </c>
      <c r="K19" s="18">
        <v>6</v>
      </c>
      <c r="L19" s="268"/>
      <c r="M19" s="18"/>
      <c r="N19" s="18" t="s">
        <v>17</v>
      </c>
      <c r="O19" s="18"/>
      <c r="P19" s="3">
        <f t="shared" si="0"/>
        <v>13</v>
      </c>
    </row>
    <row r="20" spans="1:20">
      <c r="A20" s="45" t="s">
        <v>1359</v>
      </c>
      <c r="B20" s="82" t="s">
        <v>1360</v>
      </c>
      <c r="C20" s="18"/>
      <c r="D20" s="82" t="s">
        <v>1361</v>
      </c>
      <c r="E20" s="18">
        <v>8</v>
      </c>
      <c r="F20" s="85" t="s">
        <v>1362</v>
      </c>
      <c r="G20" s="18">
        <v>5</v>
      </c>
      <c r="H20" s="85" t="s">
        <v>1214</v>
      </c>
      <c r="I20" s="18"/>
      <c r="J20" s="82" t="s">
        <v>1363</v>
      </c>
      <c r="K20" s="18">
        <v>5.5</v>
      </c>
      <c r="L20" s="268"/>
      <c r="M20" s="18"/>
      <c r="N20" s="18" t="s">
        <v>17</v>
      </c>
      <c r="O20" s="18"/>
      <c r="P20" s="3">
        <f t="shared" si="0"/>
        <v>18.5</v>
      </c>
    </row>
    <row r="21" spans="1:20">
      <c r="A21" s="52" t="s">
        <v>95</v>
      </c>
      <c r="B21" s="3"/>
      <c r="C21" s="3">
        <f>SUM(C7:C16)</f>
        <v>51</v>
      </c>
      <c r="D21" s="3"/>
      <c r="E21" s="3">
        <f>SUM(E7:E16)</f>
        <v>53</v>
      </c>
      <c r="F21" s="3"/>
      <c r="G21" s="3">
        <f>SUM(G7:G16)</f>
        <v>80</v>
      </c>
      <c r="H21" s="3"/>
      <c r="I21" s="3">
        <f>SUM(I7:I16)</f>
        <v>31</v>
      </c>
      <c r="J21" s="3"/>
      <c r="K21" s="3">
        <f>SUM(K7:K16)</f>
        <v>60</v>
      </c>
      <c r="L21" s="3"/>
      <c r="M21" s="3">
        <f>SUM(M7:M16)</f>
        <v>50</v>
      </c>
      <c r="N21" s="3"/>
      <c r="O21" s="3">
        <f>SUM(O9:O15)</f>
        <v>0</v>
      </c>
      <c r="P21" s="3">
        <f>SUM(O21,M21,K21,I21,G21,E21,C21)</f>
        <v>325</v>
      </c>
    </row>
    <row r="22" spans="1:20">
      <c r="C22">
        <f>C21*20</f>
        <v>1020</v>
      </c>
      <c r="E22">
        <f>E21*20</f>
        <v>1060</v>
      </c>
      <c r="G22">
        <f>G21*20</f>
        <v>1600</v>
      </c>
      <c r="I22">
        <f>I21*20</f>
        <v>620</v>
      </c>
      <c r="K22">
        <f>K21*20</f>
        <v>1200</v>
      </c>
      <c r="M22">
        <f>M21*20</f>
        <v>1000</v>
      </c>
      <c r="Q22">
        <f>P21*20</f>
        <v>6500</v>
      </c>
    </row>
    <row r="24" spans="1:20" ht="15" thickBot="1">
      <c r="A24" s="264" t="s">
        <v>96</v>
      </c>
      <c r="B24" s="264"/>
      <c r="C24" s="117"/>
      <c r="D24" s="121"/>
    </row>
    <row r="25" spans="1:20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0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20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  <c r="T27" t="s">
        <v>110</v>
      </c>
    </row>
    <row r="28" spans="1:20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0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0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0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20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E173-4BB3-46F7-8F4D-A8FA451D6F8D}">
  <sheetPr>
    <tabColor theme="9"/>
  </sheetPr>
  <dimension ref="A1:U33"/>
  <sheetViews>
    <sheetView zoomScale="70" zoomScaleNormal="70" workbookViewId="0">
      <selection activeCell="D6" sqref="D6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4.28515625" customWidth="1"/>
    <col min="6" max="6" width="20" bestFit="1" customWidth="1"/>
    <col min="7" max="7" width="5.5703125" bestFit="1" customWidth="1"/>
    <col min="8" max="8" width="20.85546875" bestFit="1" customWidth="1"/>
    <col min="9" max="9" width="6.5703125" bestFit="1" customWidth="1"/>
    <col min="10" max="10" width="21" bestFit="1" customWidth="1"/>
    <col min="11" max="11" width="7.28515625" bestFit="1" customWidth="1"/>
    <col min="12" max="12" width="14.42578125" bestFit="1" customWidth="1"/>
    <col min="13" max="13" width="4.7109375" bestFit="1" customWidth="1"/>
    <col min="14" max="14" width="8.85546875" bestFit="1" customWidth="1"/>
    <col min="15" max="15" width="4" customWidth="1"/>
    <col min="16" max="16" width="11.28515625" bestFit="1" customWidth="1"/>
    <col min="21" max="21" width="17.85546875" bestFit="1" customWidth="1"/>
  </cols>
  <sheetData>
    <row r="1" spans="1:21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45662</v>
      </c>
      <c r="C2" s="6"/>
      <c r="D2" s="5">
        <v>45663</v>
      </c>
      <c r="E2" s="6"/>
      <c r="F2" s="5">
        <v>45664</v>
      </c>
      <c r="G2" s="6"/>
      <c r="H2" s="5">
        <v>45665</v>
      </c>
      <c r="I2" s="6"/>
      <c r="J2" s="5">
        <v>45666</v>
      </c>
      <c r="K2" s="6"/>
      <c r="L2" s="5">
        <v>45667</v>
      </c>
      <c r="M2" s="6"/>
      <c r="N2" s="5">
        <v>45668</v>
      </c>
      <c r="O2" s="7"/>
      <c r="P2" s="3"/>
    </row>
    <row r="3" spans="1:21" ht="63" customHeight="1">
      <c r="A3" s="8" t="s">
        <v>9</v>
      </c>
      <c r="B3" s="256" t="s">
        <v>1364</v>
      </c>
      <c r="C3" s="10"/>
      <c r="D3" s="9" t="s">
        <v>1365</v>
      </c>
      <c r="E3" s="10"/>
      <c r="F3" s="256" t="s">
        <v>1366</v>
      </c>
      <c r="G3" s="11"/>
      <c r="H3" s="92" t="s">
        <v>1367</v>
      </c>
      <c r="I3" s="10"/>
      <c r="J3" s="92" t="s">
        <v>1368</v>
      </c>
      <c r="K3" s="10"/>
      <c r="L3" s="9"/>
      <c r="M3" s="13"/>
      <c r="N3" s="14"/>
      <c r="O3" s="15"/>
      <c r="P3" s="3"/>
    </row>
    <row r="4" spans="1:21" ht="24.6">
      <c r="A4" s="16" t="s">
        <v>14</v>
      </c>
      <c r="B4" s="19" t="s">
        <v>753</v>
      </c>
      <c r="C4" s="18">
        <v>9</v>
      </c>
      <c r="D4" s="19" t="s">
        <v>1369</v>
      </c>
      <c r="E4" s="18">
        <v>10.5</v>
      </c>
      <c r="F4" s="19" t="s">
        <v>1370</v>
      </c>
      <c r="G4" s="18">
        <v>11</v>
      </c>
      <c r="H4" s="19" t="s">
        <v>1371</v>
      </c>
      <c r="I4" s="18">
        <v>9</v>
      </c>
      <c r="J4" s="19" t="s">
        <v>1372</v>
      </c>
      <c r="K4" s="18">
        <v>11</v>
      </c>
      <c r="L4" s="94" t="s">
        <v>1373</v>
      </c>
      <c r="M4" s="18">
        <v>7</v>
      </c>
      <c r="N4" s="18"/>
      <c r="O4" s="18"/>
      <c r="P4" s="3">
        <f t="shared" ref="P4:P20" si="0">SUM(O4,M4,K4,I4,G4,E4,C4)</f>
        <v>57.5</v>
      </c>
    </row>
    <row r="5" spans="1:21">
      <c r="A5" s="22" t="s">
        <v>18</v>
      </c>
      <c r="B5" s="26" t="s">
        <v>1374</v>
      </c>
      <c r="C5" s="24">
        <v>9</v>
      </c>
      <c r="D5" s="26" t="s">
        <v>753</v>
      </c>
      <c r="E5" s="24">
        <v>9</v>
      </c>
      <c r="F5" s="26" t="s">
        <v>1375</v>
      </c>
      <c r="G5" s="24">
        <v>9</v>
      </c>
      <c r="H5" s="26" t="s">
        <v>460</v>
      </c>
      <c r="I5" s="24">
        <v>9</v>
      </c>
      <c r="J5" s="26" t="s">
        <v>1376</v>
      </c>
      <c r="K5" s="24">
        <v>8</v>
      </c>
      <c r="L5" s="24" t="s">
        <v>17</v>
      </c>
      <c r="M5" s="95"/>
      <c r="N5" s="24"/>
      <c r="O5" s="18"/>
      <c r="P5" s="3">
        <f t="shared" si="0"/>
        <v>44</v>
      </c>
    </row>
    <row r="6" spans="1:21" ht="72">
      <c r="A6" s="128" t="s">
        <v>1377</v>
      </c>
      <c r="B6" s="18" t="s">
        <v>1378</v>
      </c>
      <c r="C6" s="48">
        <v>8</v>
      </c>
      <c r="D6" s="18"/>
      <c r="E6" s="48"/>
      <c r="F6" s="18" t="s">
        <v>1379</v>
      </c>
      <c r="G6" s="48">
        <v>7</v>
      </c>
      <c r="H6" s="45"/>
      <c r="I6" s="48"/>
      <c r="J6" s="48"/>
      <c r="K6" s="48"/>
      <c r="L6" s="48" t="s">
        <v>1380</v>
      </c>
      <c r="M6" s="48">
        <v>9</v>
      </c>
      <c r="N6" s="48"/>
      <c r="O6" s="18"/>
      <c r="P6" s="3">
        <f t="shared" si="0"/>
        <v>24</v>
      </c>
      <c r="R6" t="s">
        <v>31</v>
      </c>
      <c r="S6" t="s">
        <v>32</v>
      </c>
      <c r="T6" t="s">
        <v>33</v>
      </c>
    </row>
    <row r="7" spans="1:21" ht="57.6">
      <c r="A7" s="163" t="s">
        <v>719</v>
      </c>
      <c r="B7" s="45" t="s">
        <v>1381</v>
      </c>
      <c r="C7" s="48">
        <v>8.5</v>
      </c>
      <c r="D7" s="165" t="s">
        <v>1382</v>
      </c>
      <c r="E7" s="48">
        <v>8</v>
      </c>
      <c r="F7" s="237" t="s">
        <v>1383</v>
      </c>
      <c r="G7" s="48">
        <v>7.75</v>
      </c>
      <c r="H7" s="129" t="s">
        <v>1384</v>
      </c>
      <c r="I7" s="48">
        <v>3</v>
      </c>
      <c r="J7" s="45" t="s">
        <v>1385</v>
      </c>
      <c r="K7" s="48">
        <v>11</v>
      </c>
      <c r="L7" s="48"/>
      <c r="M7" s="48"/>
      <c r="N7" s="48"/>
      <c r="O7" s="18"/>
      <c r="P7" s="3">
        <f t="shared" si="0"/>
        <v>38.25</v>
      </c>
      <c r="T7" s="231"/>
      <c r="U7" t="s">
        <v>39</v>
      </c>
    </row>
    <row r="8" spans="1:21" ht="72">
      <c r="A8" s="163" t="s">
        <v>214</v>
      </c>
      <c r="B8" s="33" t="s">
        <v>1386</v>
      </c>
      <c r="C8" s="48">
        <v>8.5</v>
      </c>
      <c r="D8" s="45" t="s">
        <v>1387</v>
      </c>
      <c r="E8" s="48">
        <v>7.5</v>
      </c>
      <c r="F8" s="45" t="s">
        <v>1388</v>
      </c>
      <c r="G8" s="48">
        <v>7.5</v>
      </c>
      <c r="H8" s="129"/>
      <c r="I8" s="48"/>
      <c r="J8" s="18" t="s">
        <v>1389</v>
      </c>
      <c r="K8" s="48">
        <v>8</v>
      </c>
      <c r="L8" s="45" t="s">
        <v>1390</v>
      </c>
      <c r="M8" s="48">
        <v>7.5</v>
      </c>
      <c r="N8" s="48"/>
      <c r="O8" s="18"/>
      <c r="P8" s="3">
        <f t="shared" si="0"/>
        <v>39</v>
      </c>
      <c r="T8" s="231"/>
      <c r="U8" t="s">
        <v>45</v>
      </c>
    </row>
    <row r="9" spans="1:21" ht="57.6">
      <c r="A9" s="163" t="s">
        <v>694</v>
      </c>
      <c r="B9" s="56" t="s">
        <v>1391</v>
      </c>
      <c r="C9" s="48">
        <v>7.5</v>
      </c>
      <c r="D9" s="165" t="s">
        <v>1392</v>
      </c>
      <c r="E9" s="48">
        <v>7.5</v>
      </c>
      <c r="F9" s="257" t="s">
        <v>1393</v>
      </c>
      <c r="G9" s="48">
        <v>4</v>
      </c>
      <c r="H9" s="257" t="s">
        <v>1394</v>
      </c>
      <c r="I9" s="48">
        <v>7.5</v>
      </c>
      <c r="J9" s="60" t="s">
        <v>1395</v>
      </c>
      <c r="K9" s="48">
        <v>7.5</v>
      </c>
      <c r="L9" s="38"/>
      <c r="M9" s="47"/>
      <c r="N9" s="48"/>
      <c r="O9" s="18"/>
      <c r="P9" s="3">
        <f t="shared" si="0"/>
        <v>34</v>
      </c>
      <c r="U9" t="s">
        <v>50</v>
      </c>
    </row>
    <row r="10" spans="1:21" ht="43.15">
      <c r="A10" s="163" t="s">
        <v>725</v>
      </c>
      <c r="B10" s="165" t="s">
        <v>1396</v>
      </c>
      <c r="C10" s="48">
        <v>5.5</v>
      </c>
      <c r="D10" s="258"/>
      <c r="E10" s="48"/>
      <c r="F10" s="60" t="s">
        <v>1397</v>
      </c>
      <c r="G10" s="48">
        <v>7.5</v>
      </c>
      <c r="H10" s="60" t="s">
        <v>1398</v>
      </c>
      <c r="I10" s="48">
        <v>8.5</v>
      </c>
      <c r="J10" s="165" t="s">
        <v>1399</v>
      </c>
      <c r="K10" s="48">
        <v>6.5</v>
      </c>
      <c r="L10" s="165" t="s">
        <v>1247</v>
      </c>
      <c r="M10" s="48">
        <v>5</v>
      </c>
      <c r="N10" s="48"/>
      <c r="O10" s="18"/>
      <c r="P10" s="3">
        <f t="shared" si="0"/>
        <v>33</v>
      </c>
      <c r="U10" t="s">
        <v>601</v>
      </c>
    </row>
    <row r="11" spans="1:21" ht="28.9">
      <c r="A11" s="128" t="s">
        <v>698</v>
      </c>
      <c r="B11" s="153" t="s">
        <v>1400</v>
      </c>
      <c r="C11" s="48">
        <v>9.5</v>
      </c>
      <c r="D11" s="153" t="s">
        <v>26</v>
      </c>
      <c r="E11" s="48"/>
      <c r="F11" s="48" t="s">
        <v>1401</v>
      </c>
      <c r="G11" s="48">
        <v>8.5</v>
      </c>
      <c r="H11" s="48" t="s">
        <v>1402</v>
      </c>
      <c r="I11" s="48">
        <v>7.5</v>
      </c>
      <c r="J11" s="33" t="s">
        <v>1403</v>
      </c>
      <c r="K11" s="48"/>
      <c r="L11" s="48"/>
      <c r="M11" s="48"/>
      <c r="N11" s="48"/>
      <c r="O11" s="18"/>
      <c r="P11" s="3">
        <f t="shared" si="0"/>
        <v>25.5</v>
      </c>
      <c r="U11" t="s">
        <v>1404</v>
      </c>
    </row>
    <row r="12" spans="1:21" ht="28.9">
      <c r="A12" s="128" t="s">
        <v>701</v>
      </c>
      <c r="B12" s="81" t="s">
        <v>1405</v>
      </c>
      <c r="C12" s="48">
        <v>5</v>
      </c>
      <c r="D12" s="81"/>
      <c r="E12" s="48"/>
      <c r="F12" s="38"/>
      <c r="G12" s="48"/>
      <c r="H12" s="81" t="s">
        <v>1406</v>
      </c>
      <c r="I12" s="48">
        <v>5</v>
      </c>
      <c r="J12" s="81" t="s">
        <v>1406</v>
      </c>
      <c r="K12" s="48">
        <v>5</v>
      </c>
      <c r="L12" s="48" t="s">
        <v>1407</v>
      </c>
      <c r="M12" s="48">
        <v>9</v>
      </c>
      <c r="N12" s="48"/>
      <c r="O12" s="18"/>
      <c r="P12" s="3">
        <f t="shared" si="0"/>
        <v>24</v>
      </c>
    </row>
    <row r="13" spans="1:21">
      <c r="A13" s="128" t="s">
        <v>1408</v>
      </c>
      <c r="B13" s="56" t="s">
        <v>1409</v>
      </c>
      <c r="C13" s="48">
        <v>5</v>
      </c>
      <c r="D13" s="165" t="s">
        <v>1247</v>
      </c>
      <c r="E13" s="48">
        <v>5</v>
      </c>
      <c r="F13" s="48" t="s">
        <v>1410</v>
      </c>
      <c r="G13" s="48">
        <v>5</v>
      </c>
      <c r="H13" s="259" t="s">
        <v>1411</v>
      </c>
      <c r="I13" s="48">
        <v>5</v>
      </c>
      <c r="J13" s="165" t="s">
        <v>1411</v>
      </c>
      <c r="K13" s="48">
        <v>5</v>
      </c>
      <c r="L13" s="56" t="s">
        <v>1020</v>
      </c>
      <c r="M13" s="48">
        <v>7.5</v>
      </c>
      <c r="N13" s="48"/>
      <c r="O13" s="18"/>
      <c r="P13" s="3">
        <f t="shared" si="0"/>
        <v>32.5</v>
      </c>
    </row>
    <row r="14" spans="1:21" ht="28.9">
      <c r="A14" s="128" t="s">
        <v>1412</v>
      </c>
      <c r="B14" s="56" t="s">
        <v>1413</v>
      </c>
      <c r="C14" s="48">
        <v>5.5</v>
      </c>
      <c r="D14" s="165" t="s">
        <v>1414</v>
      </c>
      <c r="E14" s="48">
        <v>5.5</v>
      </c>
      <c r="F14" s="60" t="s">
        <v>1395</v>
      </c>
      <c r="G14" s="48">
        <v>7.5</v>
      </c>
      <c r="H14" s="60" t="s">
        <v>1415</v>
      </c>
      <c r="I14" s="48">
        <v>7.5</v>
      </c>
      <c r="J14" s="56" t="s">
        <v>1021</v>
      </c>
      <c r="K14" s="48">
        <v>7.5</v>
      </c>
      <c r="L14" s="48"/>
      <c r="M14" s="48"/>
      <c r="N14" s="48"/>
      <c r="O14" s="18"/>
      <c r="P14" s="3">
        <f t="shared" si="0"/>
        <v>33.5</v>
      </c>
    </row>
    <row r="15" spans="1:21" ht="33" customHeight="1">
      <c r="A15" s="128" t="s">
        <v>1416</v>
      </c>
      <c r="B15" s="48" t="s">
        <v>1417</v>
      </c>
      <c r="C15" s="48">
        <v>7.5</v>
      </c>
      <c r="D15" s="48" t="s">
        <v>1418</v>
      </c>
      <c r="E15" s="48">
        <v>7.5</v>
      </c>
      <c r="F15" s="48" t="s">
        <v>1418</v>
      </c>
      <c r="G15" s="48">
        <v>7.5</v>
      </c>
      <c r="H15" s="48" t="s">
        <v>1419</v>
      </c>
      <c r="I15" s="48">
        <v>7.5</v>
      </c>
      <c r="J15" s="48"/>
      <c r="K15" s="48"/>
      <c r="L15" s="48"/>
      <c r="M15" s="48"/>
      <c r="N15" s="48"/>
      <c r="O15" s="18"/>
      <c r="P15" s="3">
        <f>SUM(O15,M15,K15,I15,G15,E15,C15)</f>
        <v>30</v>
      </c>
    </row>
    <row r="16" spans="1:21">
      <c r="A16" s="45" t="s">
        <v>1341</v>
      </c>
      <c r="B16" s="82" t="s">
        <v>1420</v>
      </c>
      <c r="C16" s="18">
        <v>9.5</v>
      </c>
      <c r="D16" s="82" t="s">
        <v>806</v>
      </c>
      <c r="E16" s="18"/>
      <c r="F16" s="85" t="s">
        <v>806</v>
      </c>
      <c r="G16" s="18"/>
      <c r="H16" s="82"/>
      <c r="I16" s="18"/>
      <c r="J16" s="82"/>
      <c r="K16" s="18"/>
      <c r="L16" s="56" t="s">
        <v>1403</v>
      </c>
      <c r="M16" s="51"/>
      <c r="N16" s="48"/>
      <c r="O16" s="18"/>
      <c r="P16" s="3">
        <f t="shared" si="0"/>
        <v>9.5</v>
      </c>
    </row>
    <row r="17" spans="1:20" ht="28.9">
      <c r="A17" s="45" t="s">
        <v>1347</v>
      </c>
      <c r="B17" s="82"/>
      <c r="C17" s="18"/>
      <c r="E17" s="18"/>
      <c r="F17" s="165" t="s">
        <v>1421</v>
      </c>
      <c r="G17" s="48">
        <v>7.5</v>
      </c>
      <c r="H17" s="85" t="s">
        <v>1422</v>
      </c>
      <c r="I17" s="18">
        <v>5</v>
      </c>
      <c r="J17" s="85" t="s">
        <v>1423</v>
      </c>
      <c r="K17" s="18">
        <v>5</v>
      </c>
      <c r="L17" s="60" t="s">
        <v>1424</v>
      </c>
      <c r="M17" s="48">
        <v>7</v>
      </c>
      <c r="N17" s="48"/>
      <c r="O17" s="18"/>
      <c r="P17" s="3">
        <f t="shared" si="0"/>
        <v>24.5</v>
      </c>
    </row>
    <row r="18" spans="1:20" ht="43.15">
      <c r="A18" s="45" t="s">
        <v>1425</v>
      </c>
      <c r="B18" s="82"/>
      <c r="C18" s="18"/>
      <c r="D18" s="18" t="s">
        <v>1426</v>
      </c>
      <c r="E18" s="48">
        <v>8.5</v>
      </c>
      <c r="F18" s="85" t="s">
        <v>1427</v>
      </c>
      <c r="G18" s="18">
        <v>5</v>
      </c>
      <c r="H18" s="85" t="s">
        <v>1428</v>
      </c>
      <c r="I18" s="18">
        <v>7.5</v>
      </c>
      <c r="J18" s="82"/>
      <c r="K18" s="18"/>
      <c r="L18" s="85" t="s">
        <v>1429</v>
      </c>
      <c r="M18" s="18">
        <v>5</v>
      </c>
      <c r="N18" s="48"/>
      <c r="O18" s="18"/>
      <c r="P18" s="3">
        <f t="shared" si="0"/>
        <v>26</v>
      </c>
    </row>
    <row r="19" spans="1:20">
      <c r="A19" s="45" t="s">
        <v>1430</v>
      </c>
      <c r="B19" s="82"/>
      <c r="C19" s="18"/>
      <c r="D19" s="82"/>
      <c r="E19" s="18"/>
      <c r="F19" s="85"/>
      <c r="G19" s="18"/>
      <c r="H19" s="85"/>
      <c r="I19" s="18"/>
      <c r="J19" s="82"/>
      <c r="K19" s="18"/>
      <c r="L19" s="85"/>
      <c r="M19" s="18"/>
      <c r="N19" s="48"/>
      <c r="O19" s="18"/>
      <c r="P19" s="3">
        <f t="shared" si="0"/>
        <v>0</v>
      </c>
    </row>
    <row r="20" spans="1:20">
      <c r="A20" s="45" t="s">
        <v>1430</v>
      </c>
      <c r="B20" s="82"/>
      <c r="C20" s="18"/>
      <c r="D20" s="82"/>
      <c r="E20" s="18"/>
      <c r="F20" s="85"/>
      <c r="G20" s="18"/>
      <c r="H20" s="85"/>
      <c r="I20" s="18"/>
      <c r="J20" s="82"/>
      <c r="K20" s="18"/>
      <c r="L20" s="85"/>
      <c r="M20" s="18"/>
      <c r="N20" s="48"/>
      <c r="O20" s="18"/>
      <c r="P20" s="3">
        <f t="shared" si="0"/>
        <v>0</v>
      </c>
    </row>
    <row r="21" spans="1:20">
      <c r="A21" s="52" t="s">
        <v>95</v>
      </c>
      <c r="B21" s="3"/>
      <c r="C21" s="3">
        <f>SUM(C7:C16)</f>
        <v>72</v>
      </c>
      <c r="D21" s="3"/>
      <c r="E21" s="3">
        <f>SUM(E7:E16)</f>
        <v>41</v>
      </c>
      <c r="F21" s="3"/>
      <c r="G21" s="3">
        <f>SUM(G7:G16)</f>
        <v>55.25</v>
      </c>
      <c r="H21" s="3"/>
      <c r="I21" s="3">
        <f>SUM(I7:I16)</f>
        <v>51.5</v>
      </c>
      <c r="J21" s="3"/>
      <c r="K21" s="3">
        <f>SUM(K7:K16)</f>
        <v>50.5</v>
      </c>
      <c r="L21" s="3"/>
      <c r="M21" s="3">
        <f>SUM(M7:M16)</f>
        <v>29</v>
      </c>
      <c r="N21" s="3"/>
      <c r="O21" s="3">
        <f>SUM(O9:O15)</f>
        <v>0</v>
      </c>
      <c r="P21" s="3">
        <f>SUM(O21,M21,K21,I21,G21,E21,C21)</f>
        <v>299.25</v>
      </c>
      <c r="Q21">
        <f>P21*20</f>
        <v>5985</v>
      </c>
    </row>
    <row r="22" spans="1:20">
      <c r="C22">
        <f>C21*20</f>
        <v>1440</v>
      </c>
      <c r="E22">
        <f>E21*20</f>
        <v>820</v>
      </c>
      <c r="F22" s="82"/>
      <c r="G22">
        <f>G21*20</f>
        <v>1105</v>
      </c>
      <c r="I22">
        <f>I21*20</f>
        <v>1030</v>
      </c>
      <c r="K22">
        <f>K21*20</f>
        <v>1010</v>
      </c>
      <c r="M22">
        <f>M21*20</f>
        <v>580</v>
      </c>
    </row>
    <row r="24" spans="1:20" ht="15" thickBot="1">
      <c r="A24" s="121"/>
      <c r="B24" s="117" t="s">
        <v>96</v>
      </c>
      <c r="C24" s="117"/>
      <c r="D24" s="121"/>
    </row>
    <row r="25" spans="1:20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20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  <c r="T26" t="s">
        <v>110</v>
      </c>
    </row>
    <row r="27" spans="1:20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20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20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20" ht="18">
      <c r="A30" s="150" t="s">
        <v>113</v>
      </c>
      <c r="D30" s="437" t="s">
        <v>114</v>
      </c>
      <c r="E30" s="438"/>
      <c r="F30" s="438"/>
      <c r="G30" s="438"/>
      <c r="H30" s="438"/>
      <c r="I30" s="438"/>
      <c r="J30" s="439"/>
    </row>
    <row r="31" spans="1:20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20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5B3E-45CC-4F7D-BA9A-7017D30B15C7}">
  <sheetPr>
    <tabColor theme="9"/>
  </sheetPr>
  <dimension ref="A1:U32"/>
  <sheetViews>
    <sheetView zoomScale="70" zoomScaleNormal="70" workbookViewId="0">
      <selection activeCell="L9" sqref="L9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16.140625" customWidth="1"/>
    <col min="7" max="7" width="5.5703125" bestFit="1" customWidth="1"/>
    <col min="8" max="8" width="20.85546875" bestFit="1" customWidth="1"/>
    <col min="9" max="9" width="4.28515625" customWidth="1"/>
    <col min="10" max="10" width="21" bestFit="1" customWidth="1"/>
    <col min="11" max="11" width="5.5703125" bestFit="1" customWidth="1"/>
    <col min="12" max="12" width="17.28515625" bestFit="1" customWidth="1"/>
    <col min="13" max="13" width="5.5703125" bestFit="1" customWidth="1"/>
    <col min="14" max="14" width="12.7109375" bestFit="1" customWidth="1"/>
    <col min="15" max="15" width="4.5703125" bestFit="1" customWidth="1"/>
    <col min="16" max="16" width="7.140625" customWidth="1"/>
    <col min="19" max="19" width="9" bestFit="1" customWidth="1"/>
    <col min="20" max="20" width="7.42578125" bestFit="1" customWidth="1"/>
    <col min="21" max="21" width="20.42578125" bestFit="1" customWidth="1"/>
  </cols>
  <sheetData>
    <row r="1" spans="1:21">
      <c r="A1" s="1"/>
      <c r="B1" s="1" t="s">
        <v>0</v>
      </c>
      <c r="C1" s="2" t="s">
        <v>1</v>
      </c>
      <c r="D1" s="45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21">
      <c r="A2" s="4"/>
      <c r="B2" s="5">
        <v>46020</v>
      </c>
      <c r="C2" s="6"/>
      <c r="D2" s="5">
        <v>46021</v>
      </c>
      <c r="E2" s="6"/>
      <c r="F2" s="5">
        <v>46022</v>
      </c>
      <c r="G2" s="6"/>
      <c r="H2" s="5">
        <v>45658</v>
      </c>
      <c r="I2" s="6"/>
      <c r="J2" s="5">
        <v>45659</v>
      </c>
      <c r="K2" s="6"/>
      <c r="L2" s="5">
        <v>45660</v>
      </c>
      <c r="M2" s="6"/>
      <c r="N2" s="5">
        <v>45661</v>
      </c>
      <c r="O2" s="7"/>
      <c r="P2" s="3"/>
    </row>
    <row r="3" spans="1:21" ht="68.45" customHeight="1">
      <c r="A3" s="8" t="s">
        <v>9</v>
      </c>
      <c r="B3" s="9" t="s">
        <v>1431</v>
      </c>
      <c r="C3" s="10"/>
      <c r="D3" s="9" t="s">
        <v>1432</v>
      </c>
      <c r="E3" s="10"/>
      <c r="F3" s="9" t="s">
        <v>1433</v>
      </c>
      <c r="G3" s="11"/>
      <c r="H3" s="92" t="s">
        <v>1434</v>
      </c>
      <c r="I3" s="10"/>
      <c r="J3" s="9" t="s">
        <v>1435</v>
      </c>
      <c r="K3" s="10"/>
      <c r="L3" s="9" t="s">
        <v>1436</v>
      </c>
      <c r="M3" s="13"/>
      <c r="N3" s="9" t="s">
        <v>1437</v>
      </c>
      <c r="O3" s="15"/>
      <c r="P3" s="3"/>
    </row>
    <row r="4" spans="1:21">
      <c r="A4" s="16" t="s">
        <v>14</v>
      </c>
      <c r="B4" s="19" t="s">
        <v>1438</v>
      </c>
      <c r="C4" s="18">
        <v>12</v>
      </c>
      <c r="D4" s="19" t="s">
        <v>130</v>
      </c>
      <c r="E4" s="18">
        <v>13</v>
      </c>
      <c r="F4" s="19" t="s">
        <v>1439</v>
      </c>
      <c r="G4" s="18">
        <v>12</v>
      </c>
      <c r="H4" s="19" t="s">
        <v>339</v>
      </c>
      <c r="I4" s="18">
        <v>8</v>
      </c>
      <c r="J4" s="19" t="s">
        <v>1440</v>
      </c>
      <c r="K4" s="18">
        <v>19</v>
      </c>
      <c r="L4" s="94" t="s">
        <v>1441</v>
      </c>
      <c r="M4" s="18">
        <v>7.5</v>
      </c>
      <c r="N4" s="18" t="s">
        <v>1442</v>
      </c>
      <c r="O4" s="18">
        <v>5.5</v>
      </c>
      <c r="P4" s="3">
        <f t="shared" ref="P4:P19" si="0">SUM(O4,M4,K4,I4,G4,E4,C4)</f>
        <v>77</v>
      </c>
    </row>
    <row r="5" spans="1:21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1439</v>
      </c>
      <c r="G5" s="24">
        <v>12</v>
      </c>
      <c r="H5" s="26" t="s">
        <v>339</v>
      </c>
      <c r="I5" s="24">
        <v>8</v>
      </c>
      <c r="J5" s="26" t="s">
        <v>1443</v>
      </c>
      <c r="K5" s="24">
        <v>8</v>
      </c>
      <c r="L5" s="26" t="s">
        <v>1058</v>
      </c>
      <c r="M5" s="24">
        <v>4</v>
      </c>
      <c r="N5" s="24" t="s">
        <v>17</v>
      </c>
      <c r="O5" s="18"/>
      <c r="P5" s="3">
        <f t="shared" si="0"/>
        <v>48</v>
      </c>
    </row>
    <row r="6" spans="1:21" ht="75" customHeight="1">
      <c r="A6" s="163" t="s">
        <v>1444</v>
      </c>
      <c r="B6" s="48" t="s">
        <v>26</v>
      </c>
      <c r="C6" s="48"/>
      <c r="D6" s="50" t="s">
        <v>1445</v>
      </c>
      <c r="E6" s="50">
        <v>5.5</v>
      </c>
      <c r="F6" s="165" t="s">
        <v>1446</v>
      </c>
      <c r="G6" s="48">
        <v>9</v>
      </c>
      <c r="H6" s="130"/>
      <c r="I6" s="48"/>
      <c r="J6" s="50" t="s">
        <v>1447</v>
      </c>
      <c r="K6" s="50">
        <v>9</v>
      </c>
      <c r="L6" s="50" t="s">
        <v>1448</v>
      </c>
      <c r="M6" s="50">
        <v>7.5</v>
      </c>
      <c r="N6" s="50" t="s">
        <v>1449</v>
      </c>
      <c r="O6" s="50">
        <v>6.5</v>
      </c>
      <c r="P6" s="3">
        <f t="shared" si="0"/>
        <v>37.5</v>
      </c>
    </row>
    <row r="7" spans="1:21" ht="28.9">
      <c r="A7" s="163" t="s">
        <v>214</v>
      </c>
      <c r="B7" s="50" t="s">
        <v>1450</v>
      </c>
      <c r="C7" s="50">
        <v>7.5</v>
      </c>
      <c r="D7" s="50" t="s">
        <v>1450</v>
      </c>
      <c r="E7" s="50">
        <v>7.5</v>
      </c>
      <c r="F7" s="50" t="s">
        <v>1451</v>
      </c>
      <c r="G7" s="50">
        <v>6.5</v>
      </c>
      <c r="H7" s="130" t="s">
        <v>339</v>
      </c>
      <c r="I7" s="48"/>
      <c r="J7" s="50" t="s">
        <v>1452</v>
      </c>
      <c r="K7" s="50">
        <v>5</v>
      </c>
      <c r="L7" s="50" t="s">
        <v>1453</v>
      </c>
      <c r="M7" s="50">
        <v>7.5</v>
      </c>
      <c r="N7" s="50" t="s">
        <v>26</v>
      </c>
      <c r="O7" s="50"/>
      <c r="P7" s="3">
        <f t="shared" si="0"/>
        <v>34</v>
      </c>
      <c r="R7" s="252" t="s">
        <v>31</v>
      </c>
      <c r="S7" s="252" t="s">
        <v>32</v>
      </c>
      <c r="T7" s="252" t="s">
        <v>33</v>
      </c>
      <c r="U7" s="252"/>
    </row>
    <row r="8" spans="1:21" ht="28.9">
      <c r="A8" s="163" t="s">
        <v>694</v>
      </c>
      <c r="B8" s="48" t="s">
        <v>1454</v>
      </c>
      <c r="C8" s="48">
        <v>7.5</v>
      </c>
      <c r="D8" s="56" t="s">
        <v>1455</v>
      </c>
      <c r="E8" s="48">
        <v>7.5</v>
      </c>
      <c r="F8" s="56" t="s">
        <v>1456</v>
      </c>
      <c r="G8" s="48">
        <v>7.5</v>
      </c>
      <c r="H8" s="197"/>
      <c r="I8" s="48"/>
      <c r="J8" s="165"/>
      <c r="K8" s="48"/>
      <c r="L8" s="38"/>
      <c r="M8" s="47"/>
      <c r="N8" s="48"/>
      <c r="O8" s="18"/>
      <c r="P8" s="3">
        <f t="shared" si="0"/>
        <v>22.5</v>
      </c>
      <c r="R8" s="252"/>
      <c r="S8" s="252"/>
      <c r="T8" s="232"/>
      <c r="U8" s="252" t="s">
        <v>1457</v>
      </c>
    </row>
    <row r="9" spans="1:21" ht="28.9">
      <c r="A9" s="163" t="s">
        <v>1377</v>
      </c>
      <c r="B9" s="135" t="s">
        <v>26</v>
      </c>
      <c r="C9" s="48"/>
      <c r="D9" s="135" t="s">
        <v>26</v>
      </c>
      <c r="E9" s="48"/>
      <c r="F9" s="135" t="s">
        <v>26</v>
      </c>
      <c r="G9" s="48"/>
      <c r="H9" s="242"/>
      <c r="I9" s="48"/>
      <c r="J9" s="45" t="s">
        <v>26</v>
      </c>
      <c r="K9" s="48"/>
      <c r="L9" s="50" t="s">
        <v>1458</v>
      </c>
      <c r="M9" s="50">
        <v>9.5</v>
      </c>
      <c r="N9" s="50" t="s">
        <v>1459</v>
      </c>
      <c r="O9" s="50">
        <v>6</v>
      </c>
      <c r="P9" s="3">
        <f t="shared" si="0"/>
        <v>15.5</v>
      </c>
      <c r="R9" s="252"/>
      <c r="S9" s="252"/>
      <c r="T9" s="232"/>
      <c r="U9" s="252" t="s">
        <v>1460</v>
      </c>
    </row>
    <row r="10" spans="1:21" ht="46.9" customHeight="1">
      <c r="A10" s="163" t="s">
        <v>1461</v>
      </c>
      <c r="B10" s="165" t="s">
        <v>1462</v>
      </c>
      <c r="C10" s="48">
        <v>7.5</v>
      </c>
      <c r="D10" s="165"/>
      <c r="E10" s="48"/>
      <c r="F10" s="165"/>
      <c r="G10" s="48"/>
      <c r="H10" s="197"/>
      <c r="I10" s="48"/>
      <c r="J10" s="60" t="s">
        <v>1463</v>
      </c>
      <c r="K10" s="50">
        <v>9.5</v>
      </c>
      <c r="L10" s="50" t="s">
        <v>1448</v>
      </c>
      <c r="M10" s="48">
        <v>7.5</v>
      </c>
      <c r="N10" s="48"/>
      <c r="O10" s="18"/>
      <c r="P10" s="3">
        <f t="shared" si="0"/>
        <v>24.5</v>
      </c>
      <c r="R10" s="252"/>
      <c r="S10" s="252"/>
      <c r="T10" s="252"/>
      <c r="U10" s="252" t="s">
        <v>50</v>
      </c>
    </row>
    <row r="11" spans="1:21" ht="43.15">
      <c r="A11" s="163" t="s">
        <v>1464</v>
      </c>
      <c r="B11" s="50" t="s">
        <v>1465</v>
      </c>
      <c r="C11" s="50">
        <v>7.5</v>
      </c>
      <c r="D11" s="50" t="s">
        <v>1465</v>
      </c>
      <c r="E11" s="50">
        <v>7.5</v>
      </c>
      <c r="F11" s="101"/>
      <c r="G11" s="48"/>
      <c r="H11" s="197"/>
      <c r="I11" s="48"/>
      <c r="J11" s="50" t="s">
        <v>1466</v>
      </c>
      <c r="K11" s="48">
        <v>8</v>
      </c>
      <c r="L11" s="234" t="s">
        <v>1467</v>
      </c>
      <c r="M11" s="240">
        <v>7.5</v>
      </c>
      <c r="N11" s="50"/>
      <c r="O11" s="50"/>
      <c r="P11" s="3">
        <f t="shared" si="0"/>
        <v>30.5</v>
      </c>
      <c r="R11" s="252"/>
      <c r="S11" s="252"/>
      <c r="T11" s="252"/>
      <c r="U11" s="252" t="s">
        <v>601</v>
      </c>
    </row>
    <row r="12" spans="1:21" ht="51.6" customHeight="1">
      <c r="A12" s="163" t="s">
        <v>1468</v>
      </c>
      <c r="B12" s="56" t="s">
        <v>1469</v>
      </c>
      <c r="C12" s="48">
        <v>7.5</v>
      </c>
      <c r="D12" s="165" t="s">
        <v>1462</v>
      </c>
      <c r="E12" s="48">
        <v>7.5</v>
      </c>
      <c r="F12" s="50" t="s">
        <v>1470</v>
      </c>
      <c r="G12" s="48">
        <v>7.5</v>
      </c>
      <c r="H12" s="197"/>
      <c r="I12" s="48"/>
      <c r="J12" s="101"/>
      <c r="K12" s="48"/>
      <c r="L12" s="251"/>
      <c r="M12" s="48"/>
      <c r="N12" s="48"/>
      <c r="O12" s="18"/>
      <c r="P12" s="3">
        <f t="shared" si="0"/>
        <v>22.5</v>
      </c>
      <c r="R12" s="252"/>
      <c r="S12" s="252"/>
      <c r="T12" s="252"/>
      <c r="U12" s="252" t="s">
        <v>1404</v>
      </c>
    </row>
    <row r="13" spans="1:21" ht="43.15">
      <c r="A13" s="128" t="s">
        <v>698</v>
      </c>
      <c r="B13" s="50" t="s">
        <v>1450</v>
      </c>
      <c r="C13" s="50">
        <v>7.5</v>
      </c>
      <c r="D13" s="50" t="s">
        <v>1450</v>
      </c>
      <c r="E13" s="50">
        <v>7.5</v>
      </c>
      <c r="F13" s="101" t="s">
        <v>1471</v>
      </c>
      <c r="G13" s="48">
        <v>8.5</v>
      </c>
      <c r="H13" s="130"/>
      <c r="I13" s="48"/>
      <c r="J13" s="101" t="s">
        <v>26</v>
      </c>
      <c r="K13" s="48"/>
      <c r="L13" s="234" t="s">
        <v>1467</v>
      </c>
      <c r="M13" s="240">
        <v>7.5</v>
      </c>
      <c r="N13" s="50"/>
      <c r="O13" s="50"/>
      <c r="P13" s="3">
        <f t="shared" si="0"/>
        <v>31</v>
      </c>
    </row>
    <row r="14" spans="1:21">
      <c r="A14" s="128" t="s">
        <v>701</v>
      </c>
      <c r="B14" s="48"/>
      <c r="C14" s="48"/>
      <c r="D14" s="38"/>
      <c r="E14" s="48"/>
      <c r="F14" s="48"/>
      <c r="G14" s="48"/>
      <c r="H14" s="130"/>
      <c r="I14" s="48"/>
      <c r="J14" s="48"/>
      <c r="K14" s="48"/>
      <c r="L14" s="48"/>
      <c r="M14" s="48"/>
      <c r="N14" s="48"/>
      <c r="O14" s="18"/>
      <c r="P14" s="3">
        <f t="shared" si="0"/>
        <v>0</v>
      </c>
    </row>
    <row r="15" spans="1:21" ht="28.9">
      <c r="A15" s="163" t="s">
        <v>1472</v>
      </c>
      <c r="B15" s="48"/>
      <c r="C15" s="48"/>
      <c r="D15" s="164"/>
      <c r="E15" s="48"/>
      <c r="F15" s="50" t="s">
        <v>1473</v>
      </c>
      <c r="G15" s="50">
        <v>8.5</v>
      </c>
      <c r="H15" s="242"/>
      <c r="I15" s="48"/>
      <c r="J15" s="60" t="s">
        <v>1247</v>
      </c>
      <c r="K15" s="48">
        <v>5</v>
      </c>
      <c r="L15" s="60" t="s">
        <v>1247</v>
      </c>
      <c r="M15" s="48">
        <v>5</v>
      </c>
      <c r="N15" s="50" t="s">
        <v>1449</v>
      </c>
      <c r="O15" s="50">
        <v>6.5</v>
      </c>
      <c r="P15" s="3">
        <f t="shared" si="0"/>
        <v>25</v>
      </c>
    </row>
    <row r="16" spans="1:21">
      <c r="A16" s="163" t="s">
        <v>1474</v>
      </c>
      <c r="B16" s="48"/>
      <c r="C16" s="48"/>
      <c r="D16" s="164"/>
      <c r="E16" s="48"/>
      <c r="F16" s="48"/>
      <c r="G16" s="48"/>
      <c r="H16" s="242"/>
      <c r="I16" s="48"/>
      <c r="J16" s="60" t="s">
        <v>1475</v>
      </c>
      <c r="K16" s="48">
        <v>5</v>
      </c>
      <c r="L16" s="60" t="s">
        <v>1021</v>
      </c>
      <c r="M16" s="48">
        <v>7.5</v>
      </c>
      <c r="N16" s="48"/>
      <c r="O16" s="18"/>
      <c r="P16" s="3">
        <f t="shared" si="0"/>
        <v>12.5</v>
      </c>
    </row>
    <row r="17" spans="1:17" ht="28.9">
      <c r="A17" s="128" t="s">
        <v>1476</v>
      </c>
      <c r="B17" s="168"/>
      <c r="C17" s="48"/>
      <c r="D17" s="50" t="s">
        <v>1450</v>
      </c>
      <c r="E17" s="50">
        <v>7.5</v>
      </c>
      <c r="F17" s="50" t="s">
        <v>1477</v>
      </c>
      <c r="G17" s="50">
        <v>7.5</v>
      </c>
      <c r="H17" s="242"/>
      <c r="I17" s="48"/>
      <c r="J17" s="50" t="s">
        <v>1478</v>
      </c>
      <c r="K17" s="50">
        <v>9.5</v>
      </c>
      <c r="L17" s="48"/>
      <c r="M17" s="48"/>
      <c r="N17" s="50" t="s">
        <v>1449</v>
      </c>
      <c r="O17" s="50">
        <v>6.5</v>
      </c>
      <c r="P17" s="3">
        <f t="shared" si="0"/>
        <v>31</v>
      </c>
    </row>
    <row r="18" spans="1:17">
      <c r="A18" s="45" t="s">
        <v>1479</v>
      </c>
      <c r="B18" s="50" t="s">
        <v>1450</v>
      </c>
      <c r="C18" s="50">
        <v>7.5</v>
      </c>
      <c r="D18" s="50" t="s">
        <v>1450</v>
      </c>
      <c r="E18" s="50">
        <v>7.5</v>
      </c>
      <c r="F18" s="50" t="s">
        <v>1480</v>
      </c>
      <c r="G18" s="50">
        <v>8.5</v>
      </c>
      <c r="H18" s="82"/>
      <c r="I18" s="18"/>
      <c r="J18" s="82"/>
      <c r="K18" s="18"/>
      <c r="L18" s="18"/>
      <c r="M18" s="51"/>
      <c r="N18" s="48"/>
      <c r="O18" s="18"/>
      <c r="P18" s="3">
        <f t="shared" si="0"/>
        <v>23.5</v>
      </c>
    </row>
    <row r="19" spans="1:17">
      <c r="A19" s="45"/>
      <c r="B19" s="82"/>
      <c r="C19" s="18"/>
      <c r="D19" s="82"/>
      <c r="E19" s="18"/>
      <c r="F19" s="85"/>
      <c r="G19" s="18"/>
      <c r="H19" s="82"/>
      <c r="I19" s="18"/>
      <c r="J19" s="82"/>
      <c r="K19" s="18"/>
      <c r="L19" s="18"/>
      <c r="M19" s="51"/>
      <c r="N19" s="48"/>
      <c r="O19" s="18"/>
      <c r="P19" s="3">
        <f t="shared" si="0"/>
        <v>0</v>
      </c>
    </row>
    <row r="20" spans="1:17">
      <c r="A20" s="52" t="s">
        <v>95</v>
      </c>
      <c r="B20" s="3"/>
      <c r="C20" s="3">
        <f>SUM(C6:C19)</f>
        <v>52.5</v>
      </c>
      <c r="D20" s="3"/>
      <c r="E20" s="3">
        <f>SUM(E6:E19)</f>
        <v>58</v>
      </c>
      <c r="F20" s="3"/>
      <c r="G20" s="3">
        <f>SUM(G6:G19)</f>
        <v>63.5</v>
      </c>
      <c r="H20" s="3"/>
      <c r="I20" s="3">
        <f>SUM(I6:I19)</f>
        <v>0</v>
      </c>
      <c r="J20" s="3"/>
      <c r="K20" s="3">
        <f>SUM(K6:K19)</f>
        <v>51</v>
      </c>
      <c r="L20" s="3"/>
      <c r="M20" s="3">
        <f>SUM(M6:M19)</f>
        <v>59.5</v>
      </c>
      <c r="N20" s="3"/>
      <c r="O20" s="3">
        <f>SUM(O8:O18)</f>
        <v>19</v>
      </c>
      <c r="P20" s="3">
        <f>SUM(O20,M20,K20,I20,G20,E20,C20)</f>
        <v>303.5</v>
      </c>
      <c r="Q20">
        <f>P20*20</f>
        <v>6070</v>
      </c>
    </row>
    <row r="21" spans="1:17">
      <c r="C21">
        <f>C20*20</f>
        <v>1050</v>
      </c>
      <c r="E21">
        <f>E20*20</f>
        <v>1160</v>
      </c>
      <c r="G21">
        <f>G20*20</f>
        <v>1270</v>
      </c>
      <c r="I21">
        <f>I20*20</f>
        <v>0</v>
      </c>
      <c r="K21">
        <f>K20*20</f>
        <v>1020</v>
      </c>
      <c r="M21">
        <f>M20*20</f>
        <v>1190</v>
      </c>
    </row>
    <row r="23" spans="1:17" ht="15" thickBot="1">
      <c r="A23" s="121"/>
      <c r="B23" s="117" t="s">
        <v>96</v>
      </c>
      <c r="C23" s="117"/>
      <c r="D23" s="121"/>
    </row>
    <row r="24" spans="1:17" ht="18.600000000000001" thickBot="1">
      <c r="A24" s="145" t="s">
        <v>97</v>
      </c>
      <c r="D24" s="434" t="s">
        <v>98</v>
      </c>
      <c r="E24" s="435"/>
      <c r="F24" s="435"/>
      <c r="G24" s="435"/>
      <c r="H24" s="435"/>
      <c r="I24" s="435"/>
      <c r="J24" s="436"/>
    </row>
    <row r="25" spans="1:17" ht="18">
      <c r="A25" s="146" t="s">
        <v>99</v>
      </c>
      <c r="D25" s="174" t="s">
        <v>100</v>
      </c>
      <c r="E25" s="175"/>
      <c r="F25" s="175" t="s">
        <v>101</v>
      </c>
      <c r="G25" s="175"/>
      <c r="H25" s="175" t="s">
        <v>102</v>
      </c>
      <c r="I25" s="175"/>
      <c r="J25" s="176" t="s">
        <v>103</v>
      </c>
    </row>
    <row r="26" spans="1:17" ht="18.600000000000001" thickBot="1">
      <c r="A26" s="147" t="s">
        <v>104</v>
      </c>
      <c r="D26" s="177" t="s">
        <v>105</v>
      </c>
      <c r="E26" s="178"/>
      <c r="F26" s="178" t="s">
        <v>106</v>
      </c>
      <c r="G26" s="178"/>
      <c r="H26" s="178" t="s">
        <v>107</v>
      </c>
      <c r="I26" s="178"/>
      <c r="J26" s="179" t="s">
        <v>108</v>
      </c>
    </row>
    <row r="27" spans="1:17" ht="18.600000000000001" thickBot="1">
      <c r="A27" s="148" t="s">
        <v>109</v>
      </c>
      <c r="D27" s="175" t="s">
        <v>110</v>
      </c>
      <c r="E27" s="175"/>
      <c r="F27" s="175"/>
      <c r="G27" s="175"/>
      <c r="H27" s="175"/>
      <c r="I27" s="175"/>
      <c r="J27" s="175"/>
    </row>
    <row r="28" spans="1:17" ht="18.600000000000001" thickBot="1">
      <c r="A28" s="149" t="s">
        <v>111</v>
      </c>
      <c r="D28" s="434" t="s">
        <v>112</v>
      </c>
      <c r="E28" s="435"/>
      <c r="F28" s="435"/>
      <c r="G28" s="435"/>
      <c r="H28" s="435"/>
      <c r="I28" s="435"/>
      <c r="J28" s="436"/>
    </row>
    <row r="29" spans="1:17" ht="18">
      <c r="A29" s="150" t="s">
        <v>113</v>
      </c>
      <c r="D29" s="437" t="s">
        <v>1481</v>
      </c>
      <c r="E29" s="438"/>
      <c r="F29" s="438"/>
      <c r="G29" s="438"/>
      <c r="H29" s="438"/>
      <c r="I29" s="438"/>
      <c r="J29" s="439"/>
    </row>
    <row r="30" spans="1:17" ht="18">
      <c r="A30" s="151" t="s">
        <v>115</v>
      </c>
      <c r="D30" s="437" t="s">
        <v>116</v>
      </c>
      <c r="E30" s="438"/>
      <c r="F30" s="438"/>
      <c r="G30" s="438"/>
      <c r="H30" s="438"/>
      <c r="I30" s="438"/>
      <c r="J30" s="439"/>
    </row>
    <row r="31" spans="1:17" ht="18">
      <c r="A31" s="152" t="s">
        <v>117</v>
      </c>
      <c r="D31" s="437" t="s">
        <v>118</v>
      </c>
      <c r="E31" s="438"/>
      <c r="F31" s="438"/>
      <c r="G31" s="438"/>
      <c r="H31" s="438"/>
      <c r="I31" s="438"/>
      <c r="J31" s="439"/>
    </row>
    <row r="32" spans="1:17" ht="15" thickBot="1">
      <c r="D32" s="431" t="s">
        <v>119</v>
      </c>
      <c r="E32" s="432"/>
      <c r="F32" s="432"/>
      <c r="G32" s="432"/>
      <c r="H32" s="432"/>
      <c r="I32" s="432"/>
      <c r="J32" s="433"/>
    </row>
  </sheetData>
  <mergeCells count="6">
    <mergeCell ref="D32:J32"/>
    <mergeCell ref="D24:J24"/>
    <mergeCell ref="D28:J28"/>
    <mergeCell ref="D29:J29"/>
    <mergeCell ref="D30:J30"/>
    <mergeCell ref="D31:J31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FC2F-B2F6-4176-A37D-3F72931E5E26}">
  <sheetPr>
    <tabColor theme="9"/>
  </sheetPr>
  <dimension ref="A1:Q31"/>
  <sheetViews>
    <sheetView zoomScaleNormal="100" zoomScaleSheetLayoutView="100" workbookViewId="0">
      <selection activeCell="G16" sqref="G16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5" bestFit="1" customWidth="1"/>
    <col min="14" max="14" width="7.28515625" bestFit="1" customWidth="1"/>
    <col min="15" max="15" width="4.5703125" bestFit="1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46013</v>
      </c>
      <c r="C2" s="6"/>
      <c r="D2" s="5">
        <v>46014</v>
      </c>
      <c r="E2" s="6"/>
      <c r="F2" s="5">
        <v>46015</v>
      </c>
      <c r="G2" s="6"/>
      <c r="H2" s="5">
        <v>46016</v>
      </c>
      <c r="I2" s="6"/>
      <c r="J2" s="5">
        <v>46017</v>
      </c>
      <c r="K2" s="6"/>
      <c r="L2" s="5">
        <v>46018</v>
      </c>
      <c r="M2" s="6"/>
      <c r="N2" s="5">
        <v>46019</v>
      </c>
      <c r="O2" s="7"/>
      <c r="P2" s="3"/>
    </row>
    <row r="3" spans="1:16" ht="57.6">
      <c r="A3" s="8" t="s">
        <v>9</v>
      </c>
      <c r="B3" s="9" t="s">
        <v>1482</v>
      </c>
      <c r="C3" s="10"/>
      <c r="D3" s="9" t="s">
        <v>1483</v>
      </c>
      <c r="E3" s="10"/>
      <c r="F3" s="9" t="s">
        <v>1484</v>
      </c>
      <c r="G3" s="11"/>
      <c r="H3" s="92" t="s">
        <v>1485</v>
      </c>
      <c r="I3" s="10"/>
      <c r="J3" s="12" t="s">
        <v>1486</v>
      </c>
      <c r="K3" s="10"/>
      <c r="L3" s="9" t="s">
        <v>1487</v>
      </c>
      <c r="M3" s="13"/>
      <c r="N3" s="9" t="s">
        <v>1488</v>
      </c>
      <c r="O3" s="15"/>
      <c r="P3" s="3"/>
    </row>
    <row r="4" spans="1:16">
      <c r="A4" s="16" t="s">
        <v>14</v>
      </c>
      <c r="B4" s="19" t="s">
        <v>16</v>
      </c>
      <c r="C4" s="18">
        <v>8</v>
      </c>
      <c r="D4" s="19" t="s">
        <v>16</v>
      </c>
      <c r="E4" s="18">
        <v>8</v>
      </c>
      <c r="F4" s="19" t="s">
        <v>1489</v>
      </c>
      <c r="G4" s="18">
        <v>8</v>
      </c>
      <c r="H4" s="19" t="s">
        <v>339</v>
      </c>
      <c r="I4" s="18">
        <v>8</v>
      </c>
      <c r="J4" s="19" t="s">
        <v>339</v>
      </c>
      <c r="K4" s="18">
        <v>8</v>
      </c>
      <c r="L4" s="19" t="s">
        <v>17</v>
      </c>
      <c r="M4" s="18">
        <v>0</v>
      </c>
      <c r="N4" s="19" t="s">
        <v>1360</v>
      </c>
      <c r="O4" s="18"/>
      <c r="P4" s="3">
        <f t="shared" ref="P4:P19" si="0">SUM(O4,M4,K4,I4,G4,E4,C4)</f>
        <v>40</v>
      </c>
    </row>
    <row r="5" spans="1:16">
      <c r="A5" s="22" t="s">
        <v>18</v>
      </c>
      <c r="B5" s="26" t="s">
        <v>1490</v>
      </c>
      <c r="C5" s="24">
        <v>8</v>
      </c>
      <c r="D5" s="26" t="s">
        <v>15</v>
      </c>
      <c r="E5" s="24">
        <v>8</v>
      </c>
      <c r="F5" s="26" t="s">
        <v>1491</v>
      </c>
      <c r="G5" s="24">
        <v>8</v>
      </c>
      <c r="H5" s="26" t="s">
        <v>339</v>
      </c>
      <c r="I5" s="24">
        <v>8</v>
      </c>
      <c r="J5" s="26" t="s">
        <v>339</v>
      </c>
      <c r="K5" s="24">
        <v>8</v>
      </c>
      <c r="L5" s="24" t="s">
        <v>17</v>
      </c>
      <c r="M5" s="95"/>
      <c r="N5" s="24" t="s">
        <v>17</v>
      </c>
      <c r="O5" s="18"/>
      <c r="P5" s="3">
        <f t="shared" si="0"/>
        <v>40</v>
      </c>
    </row>
    <row r="6" spans="1:16">
      <c r="A6" s="163" t="s">
        <v>1444</v>
      </c>
      <c r="B6" s="38" t="s">
        <v>26</v>
      </c>
      <c r="C6" s="38"/>
      <c r="D6" s="253" t="s">
        <v>26</v>
      </c>
      <c r="E6" s="38"/>
      <c r="F6" s="253" t="s">
        <v>26</v>
      </c>
      <c r="G6" s="38"/>
      <c r="H6" s="38" t="s">
        <v>26</v>
      </c>
      <c r="I6" s="38"/>
      <c r="J6" s="38" t="s">
        <v>26</v>
      </c>
      <c r="K6" s="38"/>
      <c r="L6" s="38" t="s">
        <v>26</v>
      </c>
      <c r="M6" s="38"/>
      <c r="N6" s="38" t="s">
        <v>26</v>
      </c>
      <c r="O6" s="18"/>
      <c r="P6" s="3">
        <f t="shared" si="0"/>
        <v>0</v>
      </c>
    </row>
    <row r="7" spans="1:16" ht="28.9">
      <c r="A7" s="163" t="s">
        <v>214</v>
      </c>
      <c r="B7" s="246" t="s">
        <v>1450</v>
      </c>
      <c r="C7" s="240">
        <v>7.5</v>
      </c>
      <c r="D7" s="247" t="s">
        <v>1492</v>
      </c>
      <c r="E7" s="48">
        <v>7.5</v>
      </c>
      <c r="F7" s="247" t="s">
        <v>26</v>
      </c>
      <c r="G7" s="48"/>
      <c r="H7" s="130" t="s">
        <v>339</v>
      </c>
      <c r="I7" s="48"/>
      <c r="J7" s="130" t="s">
        <v>339</v>
      </c>
      <c r="K7" s="48"/>
      <c r="L7" s="247" t="s">
        <v>1493</v>
      </c>
      <c r="M7" s="48" t="s">
        <v>1493</v>
      </c>
      <c r="N7" s="50" t="s">
        <v>26</v>
      </c>
      <c r="O7" s="240"/>
      <c r="P7" s="3">
        <f t="shared" si="0"/>
        <v>15</v>
      </c>
    </row>
    <row r="8" spans="1:16">
      <c r="A8" s="163" t="s">
        <v>694</v>
      </c>
      <c r="B8" s="48" t="s">
        <v>1494</v>
      </c>
      <c r="C8" s="48">
        <v>7.5</v>
      </c>
      <c r="D8" s="48" t="s">
        <v>1494</v>
      </c>
      <c r="E8" s="48">
        <v>7.5</v>
      </c>
      <c r="F8" s="48" t="s">
        <v>1494</v>
      </c>
      <c r="G8" s="48">
        <v>7.5</v>
      </c>
      <c r="H8" s="197"/>
      <c r="I8" s="48"/>
      <c r="J8" s="197"/>
      <c r="K8" s="48"/>
      <c r="L8" s="38"/>
      <c r="M8" s="47"/>
      <c r="N8" s="48"/>
      <c r="O8" s="18"/>
      <c r="P8" s="3">
        <f t="shared" si="0"/>
        <v>22.5</v>
      </c>
    </row>
    <row r="9" spans="1:16" ht="28.9">
      <c r="A9" s="163" t="s">
        <v>1377</v>
      </c>
      <c r="B9" s="248" t="s">
        <v>1495</v>
      </c>
      <c r="C9" s="48">
        <v>8.5</v>
      </c>
      <c r="D9" s="248" t="s">
        <v>1496</v>
      </c>
      <c r="E9" s="48">
        <v>8.5</v>
      </c>
      <c r="F9" s="168" t="s">
        <v>26</v>
      </c>
      <c r="G9" s="48"/>
      <c r="H9" s="242"/>
      <c r="I9" s="48"/>
      <c r="J9" s="242"/>
      <c r="K9" s="48"/>
      <c r="L9" s="48" t="s">
        <v>26</v>
      </c>
      <c r="M9" s="48"/>
      <c r="N9" s="48" t="s">
        <v>26</v>
      </c>
      <c r="O9" s="18"/>
      <c r="P9" s="3">
        <f t="shared" si="0"/>
        <v>17</v>
      </c>
    </row>
    <row r="10" spans="1:16" ht="43.15">
      <c r="A10" s="163" t="s">
        <v>1461</v>
      </c>
      <c r="B10" s="165" t="s">
        <v>1497</v>
      </c>
      <c r="C10" s="48">
        <v>7.5</v>
      </c>
      <c r="D10" s="165" t="s">
        <v>1497</v>
      </c>
      <c r="E10" s="48">
        <v>7.5</v>
      </c>
      <c r="F10" s="165" t="s">
        <v>1498</v>
      </c>
      <c r="G10" s="48">
        <v>7.5</v>
      </c>
      <c r="H10" s="197"/>
      <c r="I10" s="48"/>
      <c r="J10" s="197"/>
      <c r="K10" s="48"/>
      <c r="L10" s="165" t="s">
        <v>1499</v>
      </c>
      <c r="M10" s="48">
        <v>8.5</v>
      </c>
      <c r="N10" s="48"/>
      <c r="O10" s="18"/>
      <c r="P10" s="3">
        <f t="shared" si="0"/>
        <v>31</v>
      </c>
    </row>
    <row r="11" spans="1:16" ht="28.9">
      <c r="A11" s="128" t="s">
        <v>698</v>
      </c>
      <c r="B11" s="245" t="s">
        <v>1489</v>
      </c>
      <c r="C11" s="48">
        <v>7.5</v>
      </c>
      <c r="D11" s="245" t="s">
        <v>1500</v>
      </c>
      <c r="E11" s="48">
        <v>9.5</v>
      </c>
      <c r="F11" s="245" t="s">
        <v>1501</v>
      </c>
      <c r="G11" s="48">
        <v>8.5</v>
      </c>
      <c r="H11" s="130"/>
      <c r="I11" s="48"/>
      <c r="J11" s="130"/>
      <c r="K11" s="48"/>
      <c r="L11" s="48"/>
      <c r="M11" s="48"/>
      <c r="N11" s="50"/>
      <c r="O11" s="240"/>
      <c r="P11" s="3">
        <f t="shared" si="0"/>
        <v>25.5</v>
      </c>
    </row>
    <row r="12" spans="1:16" ht="28.9">
      <c r="A12" s="163" t="s">
        <v>1468</v>
      </c>
      <c r="B12" s="245" t="s">
        <v>1489</v>
      </c>
      <c r="C12" s="48">
        <v>7.5</v>
      </c>
      <c r="D12" s="245" t="s">
        <v>1502</v>
      </c>
      <c r="E12" s="48">
        <v>7.5</v>
      </c>
      <c r="F12" s="245" t="s">
        <v>1501</v>
      </c>
      <c r="G12" s="48">
        <v>8.5</v>
      </c>
      <c r="H12" s="130"/>
      <c r="I12" s="48"/>
      <c r="J12" s="130"/>
      <c r="K12" s="48"/>
      <c r="L12" s="247" t="s">
        <v>1503</v>
      </c>
      <c r="M12" s="48">
        <v>7.5</v>
      </c>
      <c r="N12" s="245"/>
      <c r="O12" s="18"/>
      <c r="P12" s="3">
        <f t="shared" si="0"/>
        <v>31</v>
      </c>
    </row>
    <row r="13" spans="1:16">
      <c r="A13" s="128" t="s">
        <v>1504</v>
      </c>
      <c r="B13" s="251"/>
      <c r="C13" s="38"/>
      <c r="D13" s="251"/>
      <c r="E13" s="38"/>
      <c r="F13" s="243"/>
      <c r="G13" s="38"/>
      <c r="H13" s="38"/>
      <c r="I13" s="38"/>
      <c r="J13" s="38"/>
      <c r="K13" s="38"/>
      <c r="L13" s="38"/>
      <c r="M13" s="244"/>
      <c r="N13" s="38"/>
      <c r="O13" s="18"/>
      <c r="P13" s="3">
        <f t="shared" si="0"/>
        <v>0</v>
      </c>
    </row>
    <row r="14" spans="1:16" ht="28.9">
      <c r="A14" s="163" t="s">
        <v>1505</v>
      </c>
      <c r="B14" s="165" t="s">
        <v>1506</v>
      </c>
      <c r="C14" s="48">
        <v>7.5</v>
      </c>
      <c r="D14" s="165" t="s">
        <v>1506</v>
      </c>
      <c r="E14" s="48">
        <v>7.5</v>
      </c>
      <c r="F14" s="165" t="s">
        <v>1506</v>
      </c>
      <c r="G14" s="48">
        <v>7.5</v>
      </c>
      <c r="H14" s="130"/>
      <c r="I14" s="48"/>
      <c r="J14" s="130"/>
      <c r="K14" s="48"/>
      <c r="L14" s="48" t="s">
        <v>1507</v>
      </c>
      <c r="M14" s="47">
        <v>0</v>
      </c>
      <c r="N14" s="48"/>
      <c r="O14" s="47"/>
      <c r="P14" s="3">
        <f t="shared" si="0"/>
        <v>22.5</v>
      </c>
    </row>
    <row r="15" spans="1:16" s="241" customFormat="1" ht="28.9">
      <c r="A15" s="163" t="s">
        <v>1508</v>
      </c>
      <c r="B15" s="224" t="s">
        <v>1509</v>
      </c>
      <c r="C15" s="48">
        <v>3</v>
      </c>
      <c r="D15" s="224" t="s">
        <v>807</v>
      </c>
      <c r="E15" s="48"/>
      <c r="F15" s="227" t="s">
        <v>1403</v>
      </c>
      <c r="G15" s="48"/>
      <c r="H15" s="226"/>
      <c r="I15" s="48"/>
      <c r="J15" s="214"/>
      <c r="K15" s="48"/>
      <c r="L15" s="227" t="s">
        <v>1510</v>
      </c>
      <c r="M15" s="48">
        <v>7.5</v>
      </c>
      <c r="N15" s="245"/>
      <c r="O15" s="18"/>
      <c r="P15" s="3">
        <f t="shared" si="0"/>
        <v>10.5</v>
      </c>
    </row>
    <row r="16" spans="1:16" ht="43.15">
      <c r="A16" s="163" t="s">
        <v>1474</v>
      </c>
      <c r="B16" s="56" t="s">
        <v>1511</v>
      </c>
      <c r="C16" s="48">
        <v>5</v>
      </c>
      <c r="D16" s="56" t="s">
        <v>1512</v>
      </c>
      <c r="E16" s="48">
        <v>9.5</v>
      </c>
      <c r="F16" s="48" t="s">
        <v>1513</v>
      </c>
      <c r="G16" s="48">
        <v>8.5</v>
      </c>
      <c r="H16" s="242"/>
      <c r="I16" s="48"/>
      <c r="J16" s="242"/>
      <c r="K16" s="48"/>
      <c r="L16" s="48" t="s">
        <v>1514</v>
      </c>
      <c r="M16" s="48">
        <v>5</v>
      </c>
      <c r="N16" s="48"/>
      <c r="O16" s="18"/>
      <c r="P16" s="3">
        <f t="shared" si="0"/>
        <v>28</v>
      </c>
    </row>
    <row r="17" spans="1:17">
      <c r="A17" s="128" t="s">
        <v>1515</v>
      </c>
      <c r="B17" s="245" t="s">
        <v>1516</v>
      </c>
      <c r="C17" s="48">
        <v>7.5</v>
      </c>
      <c r="D17" s="245" t="s">
        <v>1517</v>
      </c>
      <c r="E17" s="48">
        <v>9.5</v>
      </c>
      <c r="F17" s="245" t="s">
        <v>1501</v>
      </c>
      <c r="G17" s="48">
        <v>8.5</v>
      </c>
      <c r="H17" s="242"/>
      <c r="I17" s="48"/>
      <c r="J17" s="242"/>
      <c r="K17" s="48"/>
      <c r="L17" s="245" t="s">
        <v>1507</v>
      </c>
      <c r="M17" s="48">
        <v>0</v>
      </c>
      <c r="N17" s="245"/>
      <c r="O17" s="18"/>
      <c r="P17" s="3">
        <f t="shared" si="0"/>
        <v>25.5</v>
      </c>
    </row>
    <row r="18" spans="1:17" ht="28.9">
      <c r="A18" s="45" t="s">
        <v>1479</v>
      </c>
      <c r="B18" s="82" t="s">
        <v>1518</v>
      </c>
      <c r="C18" s="18">
        <v>7.5</v>
      </c>
      <c r="D18" s="245" t="s">
        <v>1517</v>
      </c>
      <c r="E18" s="48">
        <v>9.5</v>
      </c>
      <c r="F18" s="245" t="s">
        <v>1501</v>
      </c>
      <c r="G18" s="48">
        <v>8.5</v>
      </c>
      <c r="H18" s="82"/>
      <c r="I18" s="18"/>
      <c r="J18" s="82"/>
      <c r="K18" s="18"/>
      <c r="L18" s="245" t="s">
        <v>1519</v>
      </c>
      <c r="M18" s="51">
        <v>7.5</v>
      </c>
      <c r="N18" s="245"/>
      <c r="O18" s="18"/>
      <c r="P18" s="3">
        <f t="shared" si="0"/>
        <v>33</v>
      </c>
    </row>
    <row r="19" spans="1:17">
      <c r="A19" s="52" t="s">
        <v>95</v>
      </c>
      <c r="B19" s="3"/>
      <c r="C19" s="3">
        <f>SUM(C6:C18)</f>
        <v>76.5</v>
      </c>
      <c r="D19" s="3"/>
      <c r="E19" s="3">
        <f>SUM(E6:E18)</f>
        <v>84</v>
      </c>
      <c r="F19" s="3"/>
      <c r="G19" s="3">
        <f>SUM(G6:G18)</f>
        <v>65</v>
      </c>
      <c r="H19" s="3"/>
      <c r="I19" s="3">
        <f>SUM(I6:I18)</f>
        <v>0</v>
      </c>
      <c r="J19" s="3"/>
      <c r="K19" s="3">
        <f>SUM(K6:K18)</f>
        <v>0</v>
      </c>
      <c r="L19" s="3"/>
      <c r="M19" s="3">
        <f>SUM(M6:M18)</f>
        <v>36</v>
      </c>
      <c r="N19" s="3"/>
      <c r="O19" s="3">
        <f>SUM(O8:O17)</f>
        <v>0</v>
      </c>
      <c r="P19" s="3">
        <f t="shared" si="0"/>
        <v>261.5</v>
      </c>
      <c r="Q19">
        <f>P19*20</f>
        <v>5230</v>
      </c>
    </row>
    <row r="20" spans="1:17">
      <c r="C20">
        <f>C19*20</f>
        <v>1530</v>
      </c>
      <c r="E20">
        <f>E19*20</f>
        <v>1680</v>
      </c>
      <c r="G20">
        <f>G19*20</f>
        <v>1300</v>
      </c>
      <c r="I20">
        <f>I19*20</f>
        <v>0</v>
      </c>
      <c r="K20">
        <f>K19*20</f>
        <v>0</v>
      </c>
      <c r="M20">
        <f>M19*20</f>
        <v>720</v>
      </c>
    </row>
    <row r="22" spans="1:17" ht="15" thickBot="1">
      <c r="A22" s="121"/>
      <c r="B22" s="117" t="s">
        <v>96</v>
      </c>
      <c r="C22" s="117"/>
      <c r="D22" s="121"/>
    </row>
    <row r="23" spans="1:17" ht="18.600000000000001" thickBot="1">
      <c r="A23" s="145" t="s">
        <v>97</v>
      </c>
      <c r="D23" s="434" t="s">
        <v>98</v>
      </c>
      <c r="E23" s="435"/>
      <c r="F23" s="435"/>
      <c r="G23" s="435"/>
      <c r="H23" s="435"/>
      <c r="I23" s="435"/>
      <c r="J23" s="436"/>
    </row>
    <row r="24" spans="1:17" ht="18">
      <c r="A24" s="146" t="s">
        <v>99</v>
      </c>
      <c r="D24" s="174" t="s">
        <v>100</v>
      </c>
      <c r="E24" s="175"/>
      <c r="F24" s="175" t="s">
        <v>101</v>
      </c>
      <c r="G24" s="175"/>
      <c r="H24" s="175" t="s">
        <v>102</v>
      </c>
      <c r="I24" s="175"/>
      <c r="J24" s="176" t="s">
        <v>103</v>
      </c>
    </row>
    <row r="25" spans="1:17" ht="18.600000000000001" thickBot="1">
      <c r="A25" s="147" t="s">
        <v>104</v>
      </c>
      <c r="D25" s="177" t="s">
        <v>105</v>
      </c>
      <c r="E25" s="178"/>
      <c r="F25" s="178" t="s">
        <v>106</v>
      </c>
      <c r="G25" s="178"/>
      <c r="H25" s="178" t="s">
        <v>107</v>
      </c>
      <c r="I25" s="178"/>
      <c r="J25" s="179" t="s">
        <v>108</v>
      </c>
    </row>
    <row r="26" spans="1:17" ht="18.600000000000001" thickBot="1">
      <c r="A26" s="148" t="s">
        <v>109</v>
      </c>
      <c r="D26" s="175" t="s">
        <v>110</v>
      </c>
      <c r="E26" s="175"/>
      <c r="F26" s="175"/>
      <c r="G26" s="175"/>
      <c r="H26" s="175"/>
      <c r="I26" s="175"/>
      <c r="J26" s="175"/>
    </row>
    <row r="27" spans="1:17" ht="18.600000000000001" thickBot="1">
      <c r="A27" s="149" t="s">
        <v>111</v>
      </c>
      <c r="D27" s="434" t="s">
        <v>112</v>
      </c>
      <c r="E27" s="435"/>
      <c r="F27" s="435"/>
      <c r="G27" s="435"/>
      <c r="H27" s="435"/>
      <c r="I27" s="435"/>
      <c r="J27" s="436"/>
    </row>
    <row r="28" spans="1:17" ht="3.75" customHeight="1">
      <c r="A28" s="150" t="s">
        <v>113</v>
      </c>
      <c r="D28" s="437" t="s">
        <v>1481</v>
      </c>
      <c r="E28" s="438"/>
      <c r="F28" s="438"/>
      <c r="G28" s="438"/>
      <c r="H28" s="438"/>
      <c r="I28" s="438"/>
      <c r="J28" s="439"/>
    </row>
    <row r="29" spans="1:17" ht="18">
      <c r="A29" s="151" t="s">
        <v>115</v>
      </c>
      <c r="D29" s="437" t="s">
        <v>116</v>
      </c>
      <c r="E29" s="438"/>
      <c r="F29" s="438"/>
      <c r="G29" s="438"/>
      <c r="H29" s="438"/>
      <c r="I29" s="438"/>
      <c r="J29" s="439"/>
    </row>
    <row r="30" spans="1:17" ht="18">
      <c r="A30" s="152" t="s">
        <v>117</v>
      </c>
      <c r="D30" s="437" t="s">
        <v>118</v>
      </c>
      <c r="E30" s="438"/>
      <c r="F30" s="438"/>
      <c r="G30" s="438"/>
      <c r="H30" s="438"/>
      <c r="I30" s="438"/>
      <c r="J30" s="439"/>
    </row>
    <row r="31" spans="1:17" ht="15" thickBot="1">
      <c r="D31" s="431" t="s">
        <v>119</v>
      </c>
      <c r="E31" s="432"/>
      <c r="F31" s="432"/>
      <c r="G31" s="432"/>
      <c r="H31" s="432"/>
      <c r="I31" s="432"/>
      <c r="J31" s="433"/>
    </row>
  </sheetData>
  <mergeCells count="6">
    <mergeCell ref="D31:J31"/>
    <mergeCell ref="D23:J23"/>
    <mergeCell ref="D27:J27"/>
    <mergeCell ref="D28:J28"/>
    <mergeCell ref="D29:J29"/>
    <mergeCell ref="D30:J3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B92A-D63C-47CB-9A77-8DF3016A6958}">
  <sheetPr>
    <tabColor theme="9"/>
  </sheetPr>
  <dimension ref="A1:AD33"/>
  <sheetViews>
    <sheetView zoomScaleNormal="100" workbookViewId="0">
      <selection activeCell="N4" sqref="N4:O4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4.5703125" bestFit="1" customWidth="1"/>
    <col min="8" max="8" width="22.5703125" customWidth="1"/>
    <col min="9" max="9" width="5.28515625" bestFit="1" customWidth="1"/>
    <col min="10" max="10" width="21" bestFit="1" customWidth="1"/>
    <col min="11" max="11" width="4.7109375" bestFit="1" customWidth="1"/>
    <col min="12" max="12" width="14.42578125" bestFit="1" customWidth="1"/>
    <col min="13" max="13" width="5" bestFit="1" customWidth="1"/>
    <col min="14" max="14" width="10.140625" customWidth="1"/>
    <col min="15" max="15" width="4.7109375" bestFit="1" customWidth="1"/>
    <col min="16" max="16" width="7.140625" customWidth="1"/>
  </cols>
  <sheetData>
    <row r="1" spans="1:30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  <c r="Q1" s="249"/>
    </row>
    <row r="2" spans="1:30">
      <c r="A2" s="4"/>
      <c r="B2" s="5">
        <v>46006</v>
      </c>
      <c r="C2" s="6"/>
      <c r="D2" s="5">
        <v>46007</v>
      </c>
      <c r="E2" s="6"/>
      <c r="F2" s="5">
        <v>46008</v>
      </c>
      <c r="G2" s="6"/>
      <c r="H2" s="5">
        <v>46009</v>
      </c>
      <c r="I2" s="6"/>
      <c r="J2" s="5">
        <v>46010</v>
      </c>
      <c r="K2" s="6"/>
      <c r="L2" s="5">
        <v>46011</v>
      </c>
      <c r="M2" s="6"/>
      <c r="N2" s="5">
        <v>46012</v>
      </c>
      <c r="O2" s="7"/>
      <c r="P2" s="3"/>
    </row>
    <row r="3" spans="1:30" ht="114" customHeight="1">
      <c r="A3" s="8" t="s">
        <v>9</v>
      </c>
      <c r="B3" s="9" t="s">
        <v>1520</v>
      </c>
      <c r="C3" s="10"/>
      <c r="D3" s="254" t="s">
        <v>1521</v>
      </c>
      <c r="E3" s="10"/>
      <c r="F3" s="9" t="s">
        <v>1522</v>
      </c>
      <c r="G3" s="11"/>
      <c r="H3" s="255" t="s">
        <v>1523</v>
      </c>
      <c r="I3" s="10"/>
      <c r="J3" s="9" t="s">
        <v>1524</v>
      </c>
      <c r="K3" s="10"/>
      <c r="L3" s="9" t="s">
        <v>1484</v>
      </c>
      <c r="M3" s="13"/>
      <c r="N3" s="14"/>
      <c r="O3" s="15"/>
      <c r="P3" s="3"/>
    </row>
    <row r="4" spans="1:30">
      <c r="A4" s="16" t="s">
        <v>14</v>
      </c>
      <c r="B4" s="19" t="s">
        <v>1525</v>
      </c>
      <c r="C4" s="18">
        <v>10</v>
      </c>
      <c r="D4" s="19" t="s">
        <v>1526</v>
      </c>
      <c r="E4" s="18">
        <v>11</v>
      </c>
      <c r="F4" s="16" t="s">
        <v>1527</v>
      </c>
      <c r="G4" s="18">
        <v>10.5</v>
      </c>
      <c r="H4" s="16" t="s">
        <v>1528</v>
      </c>
      <c r="I4" s="18">
        <v>13</v>
      </c>
      <c r="J4" s="16" t="s">
        <v>1529</v>
      </c>
      <c r="K4" s="18">
        <v>12.5</v>
      </c>
      <c r="L4" s="16" t="s">
        <v>1530</v>
      </c>
      <c r="M4" s="18">
        <v>17</v>
      </c>
      <c r="N4" s="16" t="s">
        <v>1531</v>
      </c>
      <c r="O4" s="18">
        <v>7</v>
      </c>
      <c r="P4" s="3">
        <f t="shared" ref="P4:P19" si="0">SUM(O4,M4,K4,I4,G4,E4,C4)</f>
        <v>81</v>
      </c>
    </row>
    <row r="5" spans="1:30">
      <c r="A5" s="22" t="s">
        <v>18</v>
      </c>
      <c r="B5" s="26" t="s">
        <v>1532</v>
      </c>
      <c r="C5" s="24">
        <v>8</v>
      </c>
      <c r="D5" s="26" t="s">
        <v>635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17</v>
      </c>
      <c r="K5" s="24">
        <v>8</v>
      </c>
      <c r="L5" s="24" t="s">
        <v>1533</v>
      </c>
      <c r="M5" s="95">
        <v>12</v>
      </c>
      <c r="N5" s="24"/>
      <c r="O5" s="18"/>
      <c r="P5" s="3">
        <f t="shared" si="0"/>
        <v>52</v>
      </c>
    </row>
    <row r="6" spans="1:30" s="233" customFormat="1">
      <c r="A6" s="128" t="s">
        <v>1534</v>
      </c>
      <c r="B6" s="18" t="s">
        <v>1535</v>
      </c>
      <c r="C6" s="48">
        <v>5</v>
      </c>
      <c r="D6" s="231"/>
      <c r="E6" s="38"/>
      <c r="F6" s="38"/>
      <c r="G6" s="38"/>
      <c r="H6" s="38"/>
      <c r="I6" s="38"/>
      <c r="J6" s="38"/>
      <c r="K6" s="38"/>
      <c r="L6" s="38"/>
      <c r="M6" s="232"/>
      <c r="N6" s="48"/>
      <c r="O6" s="18"/>
      <c r="P6" s="3">
        <f t="shared" si="0"/>
        <v>5</v>
      </c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>
      <c r="A7" s="163" t="s">
        <v>1444</v>
      </c>
      <c r="B7" s="48" t="s">
        <v>26</v>
      </c>
      <c r="C7" s="48"/>
      <c r="D7" s="48" t="s">
        <v>26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18"/>
      <c r="P7" s="3">
        <f t="shared" si="0"/>
        <v>0</v>
      </c>
    </row>
    <row r="8" spans="1:30" ht="28.9">
      <c r="A8" s="163" t="s">
        <v>214</v>
      </c>
      <c r="B8" s="48" t="s">
        <v>1536</v>
      </c>
      <c r="C8" s="48">
        <v>7.5</v>
      </c>
      <c r="D8" s="48"/>
      <c r="E8" s="48"/>
      <c r="F8" s="45"/>
      <c r="G8" s="48"/>
      <c r="H8" s="48" t="s">
        <v>1537</v>
      </c>
      <c r="I8" s="48">
        <v>7.5</v>
      </c>
      <c r="J8" s="247" t="s">
        <v>1538</v>
      </c>
      <c r="K8" s="48">
        <v>7.5</v>
      </c>
      <c r="L8" s="245" t="s">
        <v>1539</v>
      </c>
      <c r="M8" s="48">
        <v>12</v>
      </c>
      <c r="N8" s="250" t="s">
        <v>1540</v>
      </c>
      <c r="O8" s="48">
        <v>5</v>
      </c>
      <c r="P8" s="3">
        <f t="shared" si="0"/>
        <v>39.5</v>
      </c>
    </row>
    <row r="9" spans="1:30" ht="28.9">
      <c r="A9" s="163" t="s">
        <v>694</v>
      </c>
      <c r="B9" s="48" t="s">
        <v>1541</v>
      </c>
      <c r="C9" s="48">
        <v>5</v>
      </c>
      <c r="D9" s="164" t="s">
        <v>1542</v>
      </c>
      <c r="E9" s="48">
        <v>9.5</v>
      </c>
      <c r="F9" s="60" t="s">
        <v>1543</v>
      </c>
      <c r="G9" s="18">
        <v>7.5</v>
      </c>
      <c r="H9" s="60"/>
      <c r="I9" s="48"/>
      <c r="J9" s="165" t="s">
        <v>1544</v>
      </c>
      <c r="K9" s="48">
        <v>6.5</v>
      </c>
      <c r="L9" s="38"/>
      <c r="M9" s="47"/>
      <c r="N9" s="48"/>
      <c r="O9" s="18"/>
      <c r="P9" s="3">
        <f t="shared" si="0"/>
        <v>28.5</v>
      </c>
    </row>
    <row r="10" spans="1:30" ht="28.9">
      <c r="A10" s="163" t="s">
        <v>1377</v>
      </c>
      <c r="B10" s="135" t="s">
        <v>1545</v>
      </c>
      <c r="C10" s="48">
        <v>5.5</v>
      </c>
      <c r="D10" s="157" t="s">
        <v>1546</v>
      </c>
      <c r="E10" s="48">
        <v>6</v>
      </c>
      <c r="F10" s="221" t="s">
        <v>1547</v>
      </c>
      <c r="G10" s="48">
        <v>5</v>
      </c>
      <c r="H10" s="216" t="s">
        <v>1548</v>
      </c>
      <c r="I10" s="48">
        <v>6</v>
      </c>
      <c r="J10" s="216" t="s">
        <v>1548</v>
      </c>
      <c r="K10" s="48">
        <v>6</v>
      </c>
      <c r="L10" s="48"/>
      <c r="M10" s="48"/>
      <c r="N10" s="48"/>
      <c r="O10" s="18"/>
      <c r="P10" s="3">
        <f t="shared" si="0"/>
        <v>28.5</v>
      </c>
    </row>
    <row r="11" spans="1:30" ht="28.9">
      <c r="A11" s="163" t="s">
        <v>1461</v>
      </c>
      <c r="B11" s="196" t="s">
        <v>1549</v>
      </c>
      <c r="C11" s="48">
        <v>7.5</v>
      </c>
      <c r="D11" s="133"/>
      <c r="E11" s="48"/>
      <c r="F11" s="60"/>
      <c r="G11" s="48"/>
      <c r="H11" s="60" t="s">
        <v>1550</v>
      </c>
      <c r="I11" s="48">
        <v>9.5</v>
      </c>
      <c r="J11" s="60"/>
      <c r="K11" s="48"/>
      <c r="L11" s="56" t="s">
        <v>1551</v>
      </c>
      <c r="M11" s="48">
        <v>7.5</v>
      </c>
      <c r="N11" s="48"/>
      <c r="O11" s="18"/>
      <c r="P11" s="3">
        <f t="shared" si="0"/>
        <v>24.5</v>
      </c>
    </row>
    <row r="12" spans="1:30" ht="43.15">
      <c r="A12" s="128" t="s">
        <v>698</v>
      </c>
      <c r="B12" s="38"/>
      <c r="C12" s="48"/>
      <c r="D12" s="38"/>
      <c r="E12" s="48"/>
      <c r="F12" s="48" t="s">
        <v>1552</v>
      </c>
      <c r="G12" s="48">
        <v>7.5</v>
      </c>
      <c r="H12" s="48" t="s">
        <v>1553</v>
      </c>
      <c r="I12" s="48">
        <v>7.5</v>
      </c>
      <c r="J12" s="48" t="s">
        <v>1554</v>
      </c>
      <c r="K12" s="48">
        <v>7.5</v>
      </c>
      <c r="L12" s="240" t="s">
        <v>1439</v>
      </c>
      <c r="M12" s="48">
        <v>12</v>
      </c>
      <c r="N12" s="48" t="s">
        <v>1540</v>
      </c>
      <c r="O12" s="18">
        <v>5</v>
      </c>
      <c r="P12" s="3">
        <f t="shared" si="0"/>
        <v>39.5</v>
      </c>
    </row>
    <row r="13" spans="1:30" ht="43.15">
      <c r="A13" s="163" t="s">
        <v>1468</v>
      </c>
      <c r="B13" s="196" t="s">
        <v>1555</v>
      </c>
      <c r="C13" s="48">
        <v>7.5</v>
      </c>
      <c r="D13" s="196" t="s">
        <v>1555</v>
      </c>
      <c r="E13" s="48">
        <v>7.5</v>
      </c>
      <c r="F13" s="196" t="s">
        <v>1556</v>
      </c>
      <c r="G13" s="48">
        <v>7.5</v>
      </c>
      <c r="H13" s="56"/>
      <c r="I13" s="48"/>
      <c r="J13" s="196" t="s">
        <v>1557</v>
      </c>
      <c r="K13" s="48">
        <v>6.25</v>
      </c>
      <c r="L13" s="56" t="s">
        <v>1558</v>
      </c>
      <c r="M13" s="47">
        <v>11</v>
      </c>
      <c r="N13" s="48" t="s">
        <v>1540</v>
      </c>
      <c r="O13" s="18">
        <v>5</v>
      </c>
      <c r="P13" s="3">
        <f t="shared" si="0"/>
        <v>44.75</v>
      </c>
    </row>
    <row r="14" spans="1:30">
      <c r="A14" s="128" t="s">
        <v>701</v>
      </c>
      <c r="B14" s="36" t="s">
        <v>1559</v>
      </c>
      <c r="C14" s="48">
        <v>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18"/>
      <c r="P14" s="3">
        <f t="shared" si="0"/>
        <v>3</v>
      </c>
    </row>
    <row r="15" spans="1:30">
      <c r="A15" s="128" t="s">
        <v>1560</v>
      </c>
      <c r="B15" s="48" t="s">
        <v>1561</v>
      </c>
      <c r="C15" s="48">
        <v>6.5</v>
      </c>
      <c r="D15" s="164" t="s">
        <v>1562</v>
      </c>
      <c r="E15" s="48">
        <v>5</v>
      </c>
      <c r="F15" s="48"/>
      <c r="G15" s="48"/>
      <c r="H15" s="169"/>
      <c r="I15" s="48"/>
      <c r="J15" s="48"/>
      <c r="K15" s="48"/>
      <c r="L15" s="48"/>
      <c r="M15" s="48"/>
      <c r="N15" s="48"/>
      <c r="O15" s="18"/>
      <c r="P15" s="3">
        <f t="shared" si="0"/>
        <v>11.5</v>
      </c>
    </row>
    <row r="16" spans="1:30" ht="28.9">
      <c r="A16" s="223" t="s">
        <v>1563</v>
      </c>
      <c r="B16" s="36" t="s">
        <v>1564</v>
      </c>
      <c r="C16" s="48">
        <v>3</v>
      </c>
      <c r="D16" s="234" t="s">
        <v>1565</v>
      </c>
      <c r="E16" s="48">
        <v>5</v>
      </c>
      <c r="F16" s="56" t="s">
        <v>1566</v>
      </c>
      <c r="G16" s="48">
        <v>9.5</v>
      </c>
      <c r="H16" s="56" t="s">
        <v>1567</v>
      </c>
      <c r="I16" s="48">
        <v>9.5</v>
      </c>
      <c r="J16" s="48"/>
      <c r="K16" s="48"/>
      <c r="L16" s="129"/>
      <c r="M16" s="48"/>
      <c r="N16" s="48"/>
      <c r="O16" s="18"/>
      <c r="P16" s="3">
        <f t="shared" si="0"/>
        <v>27</v>
      </c>
    </row>
    <row r="17" spans="1:17">
      <c r="A17" s="223" t="s">
        <v>1568</v>
      </c>
      <c r="B17" s="235" t="s">
        <v>1569</v>
      </c>
      <c r="C17" s="48">
        <v>5</v>
      </c>
      <c r="D17" s="236" t="s">
        <v>1565</v>
      </c>
      <c r="E17" s="48">
        <v>5</v>
      </c>
      <c r="F17" s="235"/>
      <c r="G17" s="48"/>
      <c r="H17" s="235"/>
      <c r="I17" s="48"/>
      <c r="J17" s="235" t="s">
        <v>1570</v>
      </c>
      <c r="K17" s="48">
        <v>4</v>
      </c>
      <c r="L17" s="60" t="s">
        <v>807</v>
      </c>
      <c r="M17" s="48"/>
      <c r="N17" s="245" t="s">
        <v>806</v>
      </c>
      <c r="O17" s="48"/>
      <c r="P17" s="3">
        <f t="shared" si="0"/>
        <v>14</v>
      </c>
    </row>
    <row r="18" spans="1:17" ht="43.15">
      <c r="A18" s="223" t="s">
        <v>1571</v>
      </c>
      <c r="B18" s="237" t="s">
        <v>1572</v>
      </c>
      <c r="C18" s="48">
        <v>5</v>
      </c>
      <c r="D18" s="234" t="s">
        <v>1565</v>
      </c>
      <c r="E18" s="48">
        <v>5</v>
      </c>
      <c r="F18" s="38"/>
      <c r="G18" s="48"/>
      <c r="H18" s="239" t="s">
        <v>1573</v>
      </c>
      <c r="I18" s="48">
        <v>5</v>
      </c>
      <c r="J18" s="36" t="s">
        <v>26</v>
      </c>
      <c r="K18" s="48"/>
      <c r="L18" s="36" t="s">
        <v>26</v>
      </c>
      <c r="M18" s="48"/>
      <c r="N18" s="245" t="s">
        <v>1574</v>
      </c>
      <c r="O18" s="48">
        <v>5</v>
      </c>
      <c r="P18" s="3">
        <f t="shared" si="0"/>
        <v>20</v>
      </c>
    </row>
    <row r="19" spans="1:17" ht="28.9">
      <c r="A19" s="128" t="s">
        <v>1575</v>
      </c>
      <c r="B19" s="221"/>
      <c r="C19" s="48"/>
      <c r="D19" s="237" t="s">
        <v>1576</v>
      </c>
      <c r="E19" s="48">
        <v>5</v>
      </c>
      <c r="F19" s="48" t="s">
        <v>1577</v>
      </c>
      <c r="G19" s="48">
        <v>4.5</v>
      </c>
      <c r="H19" s="169" t="s">
        <v>1578</v>
      </c>
      <c r="I19" s="48">
        <v>5.5</v>
      </c>
      <c r="J19" s="48" t="s">
        <v>1579</v>
      </c>
      <c r="K19" s="48">
        <v>8.5</v>
      </c>
      <c r="L19" s="247" t="s">
        <v>1580</v>
      </c>
      <c r="M19" s="51">
        <v>11</v>
      </c>
      <c r="N19" s="245" t="s">
        <v>1581</v>
      </c>
      <c r="O19" s="48">
        <v>3</v>
      </c>
      <c r="P19" s="3">
        <f t="shared" si="0"/>
        <v>37.5</v>
      </c>
    </row>
    <row r="20" spans="1:17" ht="28.9">
      <c r="A20" s="45" t="s">
        <v>1479</v>
      </c>
      <c r="B20" s="16" t="s">
        <v>1582</v>
      </c>
      <c r="C20" s="18">
        <v>7</v>
      </c>
      <c r="D20" s="143" t="s">
        <v>1583</v>
      </c>
      <c r="E20" s="18">
        <v>6.5</v>
      </c>
      <c r="F20" s="85"/>
      <c r="G20" s="18"/>
      <c r="H20" s="45" t="s">
        <v>1584</v>
      </c>
      <c r="I20" s="48">
        <v>6.5</v>
      </c>
      <c r="J20" s="82"/>
      <c r="K20" s="18"/>
      <c r="L20" s="247" t="s">
        <v>1585</v>
      </c>
      <c r="M20" s="51">
        <v>11</v>
      </c>
      <c r="N20" s="245" t="s">
        <v>1581</v>
      </c>
      <c r="O20" s="48">
        <v>3</v>
      </c>
      <c r="P20" s="3">
        <f>SUM(O20,M20,K20,I20,G20,E20,C20)</f>
        <v>34</v>
      </c>
    </row>
    <row r="21" spans="1:17">
      <c r="A21" s="52" t="s">
        <v>95</v>
      </c>
      <c r="B21" s="3"/>
      <c r="C21" s="3">
        <f>SUM(C7:C20)</f>
        <v>62.5</v>
      </c>
      <c r="D21" s="3"/>
      <c r="E21" s="3">
        <f>SUM(E7:E20)</f>
        <v>54.5</v>
      </c>
      <c r="F21" s="3"/>
      <c r="G21" s="3">
        <f>SUM(G7:G20)</f>
        <v>41.5</v>
      </c>
      <c r="H21" s="3"/>
      <c r="I21" s="3">
        <f>SUM(I7:I20)</f>
        <v>57</v>
      </c>
      <c r="J21" s="3"/>
      <c r="K21" s="3">
        <f>SUM(K7:K20)</f>
        <v>46.25</v>
      </c>
      <c r="L21" s="3"/>
      <c r="M21" s="3">
        <f>SUM(M7:M20)</f>
        <v>64.5</v>
      </c>
      <c r="N21" s="3"/>
      <c r="O21" s="3">
        <f>SUM(O10:O19)</f>
        <v>18</v>
      </c>
      <c r="P21" s="3">
        <f>SUM(O21,M21,K21,I21,G21,E21,C21)</f>
        <v>344.25</v>
      </c>
      <c r="Q21">
        <f>P21*20</f>
        <v>6885</v>
      </c>
    </row>
    <row r="22" spans="1:17">
      <c r="C22">
        <f>C21*20</f>
        <v>1250</v>
      </c>
      <c r="E22">
        <f>E21*20</f>
        <v>1090</v>
      </c>
      <c r="G22">
        <f>G21*20</f>
        <v>830</v>
      </c>
      <c r="I22">
        <f>I21*20</f>
        <v>1140</v>
      </c>
      <c r="K22">
        <f>K21*20</f>
        <v>925</v>
      </c>
      <c r="M22">
        <f>M21*20</f>
        <v>1290</v>
      </c>
    </row>
    <row r="24" spans="1:17" ht="15" thickBot="1">
      <c r="A24" s="121"/>
      <c r="B24" s="117" t="s">
        <v>96</v>
      </c>
      <c r="C24" s="117"/>
      <c r="D24" s="121"/>
    </row>
    <row r="25" spans="1:17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17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17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17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17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17" ht="18">
      <c r="A30" s="150" t="s">
        <v>113</v>
      </c>
      <c r="D30" s="437" t="s">
        <v>1481</v>
      </c>
      <c r="E30" s="438"/>
      <c r="F30" s="438"/>
      <c r="G30" s="438"/>
      <c r="H30" s="438"/>
      <c r="I30" s="438"/>
      <c r="J30" s="439"/>
    </row>
    <row r="31" spans="1:17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17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4BB-81B9-490A-B08F-3A10B19D8329}">
  <sheetPr>
    <tabColor theme="9"/>
  </sheetPr>
  <dimension ref="A1:Q33"/>
  <sheetViews>
    <sheetView zoomScale="70" zoomScaleNormal="70" workbookViewId="0">
      <selection activeCell="N4" sqref="N4:O4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6.28515625" customWidth="1"/>
    <col min="5" max="5" width="5.28515625" customWidth="1"/>
    <col min="6" max="6" width="23.7109375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5.285156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45999</v>
      </c>
      <c r="C2" s="6"/>
      <c r="D2" s="5">
        <v>46000</v>
      </c>
      <c r="E2" s="6"/>
      <c r="F2" s="5">
        <v>46001</v>
      </c>
      <c r="G2" s="6"/>
      <c r="H2" s="5">
        <v>46002</v>
      </c>
      <c r="I2" s="6"/>
      <c r="J2" s="5">
        <v>46003</v>
      </c>
      <c r="K2" s="6"/>
      <c r="L2" s="5">
        <v>46004</v>
      </c>
      <c r="M2" s="6"/>
      <c r="N2" s="5">
        <v>46005</v>
      </c>
      <c r="O2" s="7"/>
      <c r="P2" s="3"/>
    </row>
    <row r="3" spans="1:16" ht="82.9" customHeight="1">
      <c r="A3" s="8" t="s">
        <v>9</v>
      </c>
      <c r="B3" s="9" t="s">
        <v>1586</v>
      </c>
      <c r="C3" s="10"/>
      <c r="D3" s="9" t="s">
        <v>1587</v>
      </c>
      <c r="E3" s="10"/>
      <c r="F3" s="9" t="s">
        <v>1588</v>
      </c>
      <c r="G3" s="11"/>
      <c r="H3" s="92" t="s">
        <v>1589</v>
      </c>
      <c r="I3" s="10"/>
      <c r="J3" s="12" t="s">
        <v>1590</v>
      </c>
      <c r="K3" s="10"/>
      <c r="L3" s="93"/>
      <c r="M3" s="13"/>
      <c r="N3" s="14"/>
      <c r="O3" s="15"/>
      <c r="P3" s="3"/>
    </row>
    <row r="4" spans="1:16" ht="28.9">
      <c r="A4" s="16" t="s">
        <v>14</v>
      </c>
      <c r="B4" s="19" t="s">
        <v>1591</v>
      </c>
      <c r="C4" s="18">
        <v>13</v>
      </c>
      <c r="D4" s="19" t="s">
        <v>1592</v>
      </c>
      <c r="E4" s="18">
        <v>5</v>
      </c>
      <c r="F4" s="19" t="s">
        <v>1593</v>
      </c>
      <c r="G4" s="18">
        <v>10</v>
      </c>
      <c r="H4" s="19" t="s">
        <v>1594</v>
      </c>
      <c r="I4" s="18">
        <v>8</v>
      </c>
      <c r="J4" s="19" t="s">
        <v>1595</v>
      </c>
      <c r="K4" s="18">
        <v>8</v>
      </c>
      <c r="L4" s="94" t="s">
        <v>1596</v>
      </c>
      <c r="M4" s="18">
        <v>11</v>
      </c>
      <c r="N4" s="94" t="s">
        <v>1596</v>
      </c>
      <c r="O4" s="18">
        <v>11</v>
      </c>
      <c r="P4" s="3">
        <f t="shared" ref="P4:P19" si="0">SUM(O4,M4,K4,I4,G4,E4,C4)</f>
        <v>66</v>
      </c>
    </row>
    <row r="5" spans="1:16" ht="28.9">
      <c r="A5" s="22" t="s">
        <v>18</v>
      </c>
      <c r="B5" s="26" t="s">
        <v>1597</v>
      </c>
      <c r="C5" s="24">
        <v>9</v>
      </c>
      <c r="D5" s="26" t="s">
        <v>1598</v>
      </c>
      <c r="E5" s="24">
        <v>7</v>
      </c>
      <c r="F5" s="26" t="s">
        <v>461</v>
      </c>
      <c r="G5" s="24">
        <v>8</v>
      </c>
      <c r="H5" s="26" t="s">
        <v>1599</v>
      </c>
      <c r="I5" s="24">
        <v>8</v>
      </c>
      <c r="J5" s="26" t="s">
        <v>1599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16" ht="28.9">
      <c r="A6" s="163" t="s">
        <v>1444</v>
      </c>
      <c r="B6" s="56" t="s">
        <v>1600</v>
      </c>
      <c r="C6" s="48">
        <v>7.5</v>
      </c>
      <c r="D6" s="48" t="s">
        <v>1601</v>
      </c>
      <c r="E6" s="48">
        <v>6</v>
      </c>
      <c r="F6" s="48" t="s">
        <v>1602</v>
      </c>
      <c r="G6" s="48">
        <v>7.5</v>
      </c>
      <c r="H6" s="44" t="s">
        <v>1603</v>
      </c>
      <c r="I6" s="48">
        <v>3</v>
      </c>
      <c r="J6" s="48"/>
      <c r="K6" s="48"/>
      <c r="L6" s="48" t="s">
        <v>1604</v>
      </c>
      <c r="M6" s="48">
        <v>6.5</v>
      </c>
      <c r="N6" s="48"/>
      <c r="O6" s="18"/>
      <c r="P6" s="3">
        <f t="shared" si="0"/>
        <v>30.5</v>
      </c>
    </row>
    <row r="7" spans="1:16" ht="28.9">
      <c r="A7" s="163" t="s">
        <v>214</v>
      </c>
      <c r="B7" s="38"/>
      <c r="C7" s="48"/>
      <c r="D7" s="220" t="s">
        <v>1605</v>
      </c>
      <c r="E7" s="220">
        <v>8.5</v>
      </c>
      <c r="F7" s="220" t="s">
        <v>1606</v>
      </c>
      <c r="G7" s="220">
        <v>6.5</v>
      </c>
      <c r="H7" s="230" t="s">
        <v>1607</v>
      </c>
      <c r="I7" s="220">
        <v>6.5</v>
      </c>
      <c r="J7" s="56" t="s">
        <v>1608</v>
      </c>
      <c r="K7" s="48">
        <v>5</v>
      </c>
      <c r="L7" s="165"/>
      <c r="M7" s="48"/>
      <c r="N7" s="48"/>
      <c r="O7" s="18"/>
      <c r="P7" s="3">
        <f t="shared" si="0"/>
        <v>26.5</v>
      </c>
    </row>
    <row r="8" spans="1:16" ht="57.6">
      <c r="A8" s="163" t="s">
        <v>694</v>
      </c>
      <c r="B8" s="164" t="s">
        <v>1609</v>
      </c>
      <c r="C8" s="48">
        <v>7</v>
      </c>
      <c r="D8" s="56" t="s">
        <v>1610</v>
      </c>
      <c r="E8" s="48">
        <v>7.5</v>
      </c>
      <c r="F8" s="16" t="s">
        <v>1611</v>
      </c>
      <c r="G8" s="18">
        <v>7</v>
      </c>
      <c r="H8" s="157" t="s">
        <v>1612</v>
      </c>
      <c r="I8" s="48">
        <v>6.5</v>
      </c>
      <c r="J8" s="165"/>
      <c r="K8" s="48"/>
      <c r="L8" s="38"/>
      <c r="M8" s="47"/>
      <c r="N8" s="48"/>
      <c r="O8" s="18"/>
      <c r="P8" s="3">
        <f t="shared" si="0"/>
        <v>28</v>
      </c>
    </row>
    <row r="9" spans="1:16">
      <c r="A9" s="163" t="s">
        <v>1377</v>
      </c>
      <c r="B9" s="135" t="s">
        <v>1613</v>
      </c>
      <c r="C9" s="48">
        <v>6</v>
      </c>
      <c r="D9" s="135" t="s">
        <v>1545</v>
      </c>
      <c r="E9" s="48">
        <v>5.5</v>
      </c>
      <c r="F9" s="221" t="s">
        <v>26</v>
      </c>
      <c r="G9" s="48"/>
      <c r="H9" s="137" t="s">
        <v>26</v>
      </c>
      <c r="I9" s="48"/>
      <c r="J9" s="135" t="s">
        <v>1545</v>
      </c>
      <c r="K9" s="48">
        <v>5.5</v>
      </c>
      <c r="L9" s="48" t="s">
        <v>26</v>
      </c>
      <c r="M9" s="48"/>
      <c r="N9" s="48"/>
      <c r="O9" s="18"/>
      <c r="P9" s="3">
        <f t="shared" si="0"/>
        <v>17</v>
      </c>
    </row>
    <row r="10" spans="1:16" ht="28.9">
      <c r="A10" s="163" t="s">
        <v>1461</v>
      </c>
      <c r="B10" s="165"/>
      <c r="C10" s="48"/>
      <c r="D10" s="133"/>
      <c r="E10" s="48"/>
      <c r="F10" s="56" t="s">
        <v>1614</v>
      </c>
      <c r="G10" s="48">
        <v>6.5</v>
      </c>
      <c r="H10" s="158" t="s">
        <v>1615</v>
      </c>
      <c r="I10" s="48">
        <v>6</v>
      </c>
      <c r="J10" s="56" t="s">
        <v>1616</v>
      </c>
      <c r="K10" s="48">
        <v>6.5</v>
      </c>
      <c r="L10" s="165" t="s">
        <v>1617</v>
      </c>
      <c r="M10" s="48">
        <v>9.5</v>
      </c>
      <c r="N10" s="48"/>
      <c r="O10" s="18"/>
      <c r="P10" s="3">
        <f>SUM(O10,M10,K10,I10,G10,E10,C10)</f>
        <v>28.5</v>
      </c>
    </row>
    <row r="11" spans="1:16" ht="43.15">
      <c r="A11" s="128" t="s">
        <v>698</v>
      </c>
      <c r="B11" s="38"/>
      <c r="C11" s="48"/>
      <c r="D11" s="38"/>
      <c r="E11" s="48"/>
      <c r="F11" s="48" t="s">
        <v>1618</v>
      </c>
      <c r="G11" s="48">
        <v>9.5</v>
      </c>
      <c r="H11" s="155" t="s">
        <v>1619</v>
      </c>
      <c r="I11" s="48">
        <v>9.5</v>
      </c>
      <c r="J11" s="155" t="s">
        <v>1620</v>
      </c>
      <c r="K11" s="48">
        <v>9.5</v>
      </c>
      <c r="L11" s="38"/>
      <c r="M11" s="48"/>
      <c r="N11" s="48"/>
      <c r="O11" s="18"/>
      <c r="P11" s="3">
        <f t="shared" si="0"/>
        <v>28.5</v>
      </c>
    </row>
    <row r="12" spans="1:16">
      <c r="A12" s="163" t="s">
        <v>1468</v>
      </c>
      <c r="B12" s="222" t="s">
        <v>1621</v>
      </c>
      <c r="C12" s="48">
        <v>4.5</v>
      </c>
      <c r="D12" s="222" t="s">
        <v>1622</v>
      </c>
      <c r="E12" s="48">
        <v>4</v>
      </c>
      <c r="F12" s="222" t="s">
        <v>1622</v>
      </c>
      <c r="G12" s="48">
        <v>4</v>
      </c>
      <c r="H12" s="213"/>
      <c r="I12" s="48"/>
      <c r="J12" s="222" t="s">
        <v>1622</v>
      </c>
      <c r="K12" s="48">
        <v>4</v>
      </c>
      <c r="L12" s="56" t="s">
        <v>1623</v>
      </c>
      <c r="M12" s="47">
        <v>9.5</v>
      </c>
      <c r="N12" s="48"/>
      <c r="O12" s="18"/>
      <c r="P12" s="3">
        <f t="shared" si="0"/>
        <v>26</v>
      </c>
    </row>
    <row r="13" spans="1:16">
      <c r="A13" s="128" t="s">
        <v>701</v>
      </c>
      <c r="B13" s="36" t="s">
        <v>1624</v>
      </c>
      <c r="C13" s="48">
        <v>4</v>
      </c>
      <c r="D13" s="38"/>
      <c r="E13" s="48"/>
      <c r="F13" s="48" t="s">
        <v>1625</v>
      </c>
      <c r="G13" s="48">
        <v>4</v>
      </c>
      <c r="H13" s="48" t="s">
        <v>1541</v>
      </c>
      <c r="I13" s="48">
        <v>5</v>
      </c>
      <c r="J13" s="48" t="s">
        <v>1541</v>
      </c>
      <c r="K13" s="48">
        <v>5</v>
      </c>
      <c r="L13" s="164" t="s">
        <v>1626</v>
      </c>
      <c r="M13" s="48">
        <v>9.5</v>
      </c>
      <c r="N13" s="48"/>
      <c r="O13" s="18"/>
      <c r="P13" s="3">
        <f t="shared" si="0"/>
        <v>27.5</v>
      </c>
    </row>
    <row r="14" spans="1:16">
      <c r="A14" s="128" t="s">
        <v>1560</v>
      </c>
      <c r="B14" s="48" t="s">
        <v>1627</v>
      </c>
      <c r="C14" s="48">
        <v>5.5</v>
      </c>
      <c r="D14" s="48" t="s">
        <v>1628</v>
      </c>
      <c r="E14" s="48">
        <v>9</v>
      </c>
      <c r="F14" s="48"/>
      <c r="G14" s="48"/>
      <c r="H14" s="137" t="s">
        <v>1545</v>
      </c>
      <c r="I14" s="48">
        <v>5.5</v>
      </c>
      <c r="J14" s="48"/>
      <c r="K14" s="48"/>
      <c r="L14" s="129" t="s">
        <v>1629</v>
      </c>
      <c r="M14" s="48">
        <v>4</v>
      </c>
      <c r="N14" s="48"/>
      <c r="O14" s="18"/>
      <c r="P14" s="3">
        <f t="shared" si="0"/>
        <v>24</v>
      </c>
    </row>
    <row r="15" spans="1:16" ht="43.15">
      <c r="A15" s="223" t="s">
        <v>1630</v>
      </c>
      <c r="B15" s="36" t="s">
        <v>1631</v>
      </c>
      <c r="C15" s="48">
        <v>3</v>
      </c>
      <c r="D15" s="220" t="s">
        <v>1632</v>
      </c>
      <c r="E15" s="220">
        <v>7.5</v>
      </c>
      <c r="F15" s="48" t="s">
        <v>1633</v>
      </c>
      <c r="G15" s="48">
        <v>4</v>
      </c>
      <c r="H15" s="220" t="s">
        <v>1634</v>
      </c>
      <c r="I15" s="220">
        <v>7.5</v>
      </c>
      <c r="J15" s="220" t="s">
        <v>1634</v>
      </c>
      <c r="K15" s="220">
        <v>7.5</v>
      </c>
      <c r="L15" s="129"/>
      <c r="M15" s="48"/>
      <c r="N15" s="48"/>
      <c r="O15" s="18"/>
      <c r="P15" s="3">
        <f t="shared" si="0"/>
        <v>29.5</v>
      </c>
    </row>
    <row r="16" spans="1:16" ht="28.9">
      <c r="A16" s="223" t="s">
        <v>1635</v>
      </c>
      <c r="B16" s="224"/>
      <c r="C16" s="48"/>
      <c r="D16" s="225"/>
      <c r="E16" s="48"/>
      <c r="F16" s="229" t="s">
        <v>1636</v>
      </c>
      <c r="G16" s="48">
        <v>3</v>
      </c>
      <c r="H16" s="226"/>
      <c r="I16" s="48"/>
      <c r="J16" s="224" t="s">
        <v>1637</v>
      </c>
      <c r="K16" s="48">
        <v>5</v>
      </c>
      <c r="L16" s="227" t="s">
        <v>1638</v>
      </c>
      <c r="M16" s="48">
        <v>7.5</v>
      </c>
      <c r="N16" s="48"/>
      <c r="O16" s="18"/>
      <c r="P16" s="3">
        <f t="shared" si="0"/>
        <v>15.5</v>
      </c>
    </row>
    <row r="17" spans="1:17" ht="27" customHeight="1">
      <c r="A17" s="223" t="s">
        <v>1639</v>
      </c>
      <c r="B17" s="165" t="s">
        <v>1640</v>
      </c>
      <c r="C17" s="48">
        <v>7.5</v>
      </c>
      <c r="D17" s="165" t="s">
        <v>1641</v>
      </c>
      <c r="E17" s="48">
        <v>7.5</v>
      </c>
      <c r="F17" s="38"/>
      <c r="G17" s="48"/>
      <c r="H17" s="226" t="s">
        <v>1642</v>
      </c>
      <c r="I17" s="48">
        <v>5</v>
      </c>
      <c r="J17" s="56"/>
      <c r="K17" s="48">
        <v>5.5</v>
      </c>
      <c r="L17" s="36"/>
      <c r="M17" s="48"/>
      <c r="N17" s="48"/>
      <c r="O17" s="18"/>
      <c r="P17" s="3">
        <f t="shared" si="0"/>
        <v>25.5</v>
      </c>
    </row>
    <row r="18" spans="1:17" ht="28.9">
      <c r="A18" s="128" t="s">
        <v>1643</v>
      </c>
      <c r="B18" s="196"/>
      <c r="C18" s="48"/>
      <c r="D18" s="48" t="s">
        <v>1644</v>
      </c>
      <c r="E18" s="48">
        <v>5</v>
      </c>
      <c r="F18" s="48"/>
      <c r="G18" s="48"/>
      <c r="H18" s="48" t="s">
        <v>1644</v>
      </c>
      <c r="I18" s="48">
        <v>5</v>
      </c>
      <c r="J18" s="48" t="s">
        <v>1644</v>
      </c>
      <c r="K18" s="48">
        <v>5</v>
      </c>
      <c r="L18" s="48"/>
      <c r="M18" s="48"/>
      <c r="N18" s="48"/>
      <c r="O18" s="18"/>
      <c r="P18" s="3">
        <f t="shared" si="0"/>
        <v>15</v>
      </c>
    </row>
    <row r="19" spans="1:17" ht="28.9">
      <c r="A19" s="45" t="s">
        <v>1645</v>
      </c>
      <c r="B19" s="172" t="s">
        <v>1646</v>
      </c>
      <c r="C19" s="18">
        <v>4</v>
      </c>
      <c r="D19" s="82" t="s">
        <v>1647</v>
      </c>
      <c r="E19" s="18">
        <v>7.5</v>
      </c>
      <c r="F19" s="82" t="s">
        <v>1648</v>
      </c>
      <c r="G19" s="18">
        <v>6.5</v>
      </c>
      <c r="H19" s="16" t="s">
        <v>1649</v>
      </c>
      <c r="I19" s="18">
        <v>3</v>
      </c>
      <c r="J19" s="82" t="s">
        <v>26</v>
      </c>
      <c r="K19" s="18">
        <v>0</v>
      </c>
      <c r="L19" s="173"/>
      <c r="M19" s="51"/>
      <c r="N19" s="48"/>
      <c r="O19" s="18"/>
      <c r="P19" s="3">
        <f t="shared" si="0"/>
        <v>21</v>
      </c>
    </row>
    <row r="20" spans="1:17" ht="28.9">
      <c r="A20" s="45" t="s">
        <v>1479</v>
      </c>
      <c r="B20" s="16" t="s">
        <v>1650</v>
      </c>
      <c r="C20" s="18">
        <v>3</v>
      </c>
      <c r="D20" s="143" t="s">
        <v>1651</v>
      </c>
      <c r="E20" s="18">
        <v>4</v>
      </c>
      <c r="F20" s="143" t="s">
        <v>1651</v>
      </c>
      <c r="G20" s="18">
        <v>4</v>
      </c>
      <c r="H20" s="82" t="s">
        <v>1652</v>
      </c>
      <c r="I20" s="18">
        <v>5.5</v>
      </c>
      <c r="J20" s="82" t="s">
        <v>1653</v>
      </c>
      <c r="K20" s="18">
        <v>6</v>
      </c>
      <c r="L20" s="18"/>
      <c r="M20" s="51"/>
      <c r="N20" s="48"/>
      <c r="O20" s="18"/>
      <c r="P20" s="3">
        <f>SUM(O20,M20,K20,I20,G20,E20,C20)</f>
        <v>22.5</v>
      </c>
    </row>
    <row r="21" spans="1:17">
      <c r="A21" s="52" t="s">
        <v>95</v>
      </c>
      <c r="B21" s="3"/>
      <c r="C21" s="3">
        <f>SUM(C6:C20)</f>
        <v>52</v>
      </c>
      <c r="D21" s="3"/>
      <c r="E21" s="3">
        <f>SUM(E6:E20)</f>
        <v>72</v>
      </c>
      <c r="F21" s="3"/>
      <c r="G21" s="3">
        <f>SUM(G6:G20)</f>
        <v>62.5</v>
      </c>
      <c r="H21" s="3"/>
      <c r="I21" s="3">
        <f>SUM(I6:I20)</f>
        <v>68</v>
      </c>
      <c r="J21" s="3"/>
      <c r="K21" s="3">
        <f>SUM(K6:K20)</f>
        <v>64.5</v>
      </c>
      <c r="L21" s="3"/>
      <c r="M21" s="3">
        <f>SUM(M6:M20)</f>
        <v>46.5</v>
      </c>
      <c r="N21" s="3"/>
      <c r="O21" s="3">
        <f>SUM(O9:O19)</f>
        <v>0</v>
      </c>
      <c r="P21" s="228">
        <f>SUM(O21,M21,K21,I21,G21,E21,C21)</f>
        <v>365.5</v>
      </c>
      <c r="Q21">
        <f>P21*20</f>
        <v>7310</v>
      </c>
    </row>
    <row r="22" spans="1:17">
      <c r="C22">
        <f>C21*20</f>
        <v>1040</v>
      </c>
      <c r="E22">
        <f>E21*20</f>
        <v>1440</v>
      </c>
      <c r="G22">
        <f>G21*20</f>
        <v>1250</v>
      </c>
      <c r="I22">
        <f>I21*20</f>
        <v>1360</v>
      </c>
      <c r="K22">
        <f>K21*20</f>
        <v>1290</v>
      </c>
      <c r="M22">
        <f>M21*20</f>
        <v>930</v>
      </c>
    </row>
    <row r="24" spans="1:17" ht="15" thickBot="1">
      <c r="A24" s="121"/>
      <c r="B24" s="117" t="s">
        <v>96</v>
      </c>
      <c r="C24" s="117"/>
      <c r="D24" s="121"/>
    </row>
    <row r="25" spans="1:17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17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17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17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17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17" ht="18">
      <c r="A30" s="150" t="s">
        <v>113</v>
      </c>
      <c r="D30" s="437" t="s">
        <v>1481</v>
      </c>
      <c r="E30" s="438"/>
      <c r="F30" s="438"/>
      <c r="G30" s="438"/>
      <c r="H30" s="438"/>
      <c r="I30" s="438"/>
      <c r="J30" s="439"/>
    </row>
    <row r="31" spans="1:17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17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31C7-4B87-40F9-B382-CDC902CD7407}">
  <sheetPr>
    <tabColor theme="9"/>
  </sheetPr>
  <dimension ref="A1:Q33"/>
  <sheetViews>
    <sheetView workbookViewId="0">
      <selection activeCell="O8" sqref="O8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45992</v>
      </c>
      <c r="C2" s="6"/>
      <c r="D2" s="5">
        <v>45993</v>
      </c>
      <c r="E2" s="6"/>
      <c r="F2" s="5">
        <v>45994</v>
      </c>
      <c r="G2" s="6"/>
      <c r="H2" s="5">
        <v>45995</v>
      </c>
      <c r="I2" s="6"/>
      <c r="J2" s="5">
        <v>45996</v>
      </c>
      <c r="K2" s="6"/>
      <c r="L2" s="5">
        <v>45997</v>
      </c>
      <c r="M2" s="6"/>
      <c r="N2" s="5">
        <v>45998</v>
      </c>
      <c r="O2" s="7"/>
      <c r="P2" s="3"/>
    </row>
    <row r="3" spans="1:16" ht="55.15">
      <c r="A3" s="8" t="s">
        <v>9</v>
      </c>
      <c r="B3" s="9"/>
      <c r="C3" s="10"/>
      <c r="D3" s="9" t="s">
        <v>1654</v>
      </c>
      <c r="E3" s="10"/>
      <c r="F3" s="9" t="s">
        <v>1655</v>
      </c>
      <c r="G3" s="11"/>
      <c r="H3" s="92" t="s">
        <v>1656</v>
      </c>
      <c r="I3" s="10"/>
      <c r="J3" s="12"/>
      <c r="K3" s="10"/>
      <c r="L3" s="93"/>
      <c r="M3" s="13"/>
      <c r="N3" s="14"/>
      <c r="O3" s="15"/>
      <c r="P3" s="3"/>
    </row>
    <row r="4" spans="1:16" ht="24.6">
      <c r="A4" s="16" t="s">
        <v>14</v>
      </c>
      <c r="B4" s="19" t="s">
        <v>16</v>
      </c>
      <c r="C4" s="18">
        <v>8</v>
      </c>
      <c r="D4" s="19" t="s">
        <v>16</v>
      </c>
      <c r="E4" s="18">
        <v>8</v>
      </c>
      <c r="F4" s="19" t="s">
        <v>1657</v>
      </c>
      <c r="G4" s="18">
        <v>7</v>
      </c>
      <c r="H4" s="19" t="s">
        <v>1246</v>
      </c>
      <c r="I4" s="18">
        <v>10</v>
      </c>
      <c r="J4" s="19" t="s">
        <v>1595</v>
      </c>
      <c r="K4" s="18">
        <v>8</v>
      </c>
      <c r="L4" s="94" t="s">
        <v>1658</v>
      </c>
      <c r="M4" s="18">
        <v>8</v>
      </c>
      <c r="N4" s="94" t="s">
        <v>1658</v>
      </c>
      <c r="O4" s="18">
        <v>8</v>
      </c>
      <c r="P4" s="3">
        <f t="shared" ref="P4:P21" si="0">SUM(O4,M4,K4,I4,G4,E4,C4)</f>
        <v>57</v>
      </c>
    </row>
    <row r="5" spans="1:16">
      <c r="A5" s="22" t="s">
        <v>18</v>
      </c>
      <c r="B5" s="26" t="s">
        <v>1599</v>
      </c>
      <c r="C5" s="24">
        <v>8</v>
      </c>
      <c r="D5" s="26" t="s">
        <v>1599</v>
      </c>
      <c r="E5" s="24">
        <v>8</v>
      </c>
      <c r="F5" s="26" t="s">
        <v>1599</v>
      </c>
      <c r="G5" s="24">
        <v>8</v>
      </c>
      <c r="H5" s="26" t="s">
        <v>635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16" ht="28.9">
      <c r="A6" s="163" t="s">
        <v>1461</v>
      </c>
      <c r="B6" s="165" t="s">
        <v>1659</v>
      </c>
      <c r="C6" s="48">
        <v>6.5</v>
      </c>
      <c r="D6" s="133" t="s">
        <v>1660</v>
      </c>
      <c r="E6" s="48">
        <v>3</v>
      </c>
      <c r="F6" s="60" t="s">
        <v>1661</v>
      </c>
      <c r="G6" s="48">
        <v>6.5</v>
      </c>
      <c r="H6" s="158"/>
      <c r="I6" s="48"/>
      <c r="J6" s="60" t="s">
        <v>1662</v>
      </c>
      <c r="K6" s="48">
        <v>7.5</v>
      </c>
      <c r="L6" s="165" t="s">
        <v>1663</v>
      </c>
      <c r="M6" s="48">
        <v>5</v>
      </c>
      <c r="N6" s="48"/>
      <c r="O6" s="18"/>
      <c r="P6" s="3">
        <f t="shared" si="0"/>
        <v>28.5</v>
      </c>
    </row>
    <row r="7" spans="1:16">
      <c r="A7" s="163" t="s">
        <v>1444</v>
      </c>
      <c r="B7" s="48" t="s">
        <v>1664</v>
      </c>
      <c r="C7" s="48">
        <v>7.5</v>
      </c>
      <c r="D7" s="48" t="s">
        <v>1665</v>
      </c>
      <c r="E7" s="48">
        <v>7.5</v>
      </c>
      <c r="F7" s="48"/>
      <c r="G7" s="48"/>
      <c r="H7" s="44" t="s">
        <v>1622</v>
      </c>
      <c r="I7" s="48">
        <v>4</v>
      </c>
      <c r="J7" s="48" t="s">
        <v>1541</v>
      </c>
      <c r="K7" s="48">
        <v>5</v>
      </c>
      <c r="L7" s="56" t="s">
        <v>1666</v>
      </c>
      <c r="M7" s="48">
        <v>3</v>
      </c>
      <c r="N7" s="48"/>
      <c r="O7" s="18"/>
      <c r="P7" s="3">
        <f t="shared" si="0"/>
        <v>27</v>
      </c>
    </row>
    <row r="8" spans="1:16" ht="43.15">
      <c r="A8" s="163" t="s">
        <v>1468</v>
      </c>
      <c r="B8" s="196" t="s">
        <v>1622</v>
      </c>
      <c r="C8" s="48">
        <v>4</v>
      </c>
      <c r="D8" s="196" t="s">
        <v>1621</v>
      </c>
      <c r="E8" s="48">
        <v>4.5</v>
      </c>
      <c r="F8" s="90" t="s">
        <v>1622</v>
      </c>
      <c r="G8" s="48">
        <v>4</v>
      </c>
      <c r="H8" s="213"/>
      <c r="I8" s="48"/>
      <c r="J8" s="196" t="s">
        <v>1667</v>
      </c>
      <c r="K8" s="48">
        <v>5</v>
      </c>
      <c r="L8" s="56" t="s">
        <v>1668</v>
      </c>
      <c r="M8" s="47">
        <v>9.5</v>
      </c>
      <c r="N8" s="48"/>
      <c r="O8" s="18"/>
      <c r="P8" s="3">
        <f t="shared" si="0"/>
        <v>27</v>
      </c>
    </row>
    <row r="9" spans="1:16" ht="43.5" customHeight="1">
      <c r="A9" s="163" t="s">
        <v>694</v>
      </c>
      <c r="B9" s="164" t="s">
        <v>1669</v>
      </c>
      <c r="C9" s="48">
        <v>6.5</v>
      </c>
      <c r="D9" s="164" t="s">
        <v>1618</v>
      </c>
      <c r="E9" s="48">
        <v>9.5</v>
      </c>
      <c r="F9" s="16" t="s">
        <v>1629</v>
      </c>
      <c r="G9" s="18">
        <v>4</v>
      </c>
      <c r="H9" s="157" t="s">
        <v>1670</v>
      </c>
      <c r="I9" s="48">
        <v>6.5</v>
      </c>
      <c r="J9" s="165"/>
      <c r="K9" s="48"/>
      <c r="L9" s="38"/>
      <c r="M9" s="47"/>
      <c r="N9" s="48"/>
      <c r="O9" s="18"/>
      <c r="P9" s="3">
        <f t="shared" si="0"/>
        <v>26.5</v>
      </c>
    </row>
    <row r="10" spans="1:16">
      <c r="A10" s="128" t="s">
        <v>1560</v>
      </c>
      <c r="B10" s="48" t="s">
        <v>1671</v>
      </c>
      <c r="C10" s="48">
        <v>4</v>
      </c>
      <c r="D10" s="164" t="s">
        <v>1672</v>
      </c>
      <c r="E10" s="48">
        <v>3.5</v>
      </c>
      <c r="F10" s="48"/>
      <c r="G10" s="48"/>
      <c r="H10" s="137"/>
      <c r="I10" s="48"/>
      <c r="J10" s="48"/>
      <c r="K10" s="48"/>
      <c r="L10" s="129" t="s">
        <v>1673</v>
      </c>
      <c r="M10" s="48">
        <v>3</v>
      </c>
      <c r="N10" s="48"/>
      <c r="O10" s="18"/>
      <c r="P10" s="3">
        <f t="shared" si="0"/>
        <v>10.5</v>
      </c>
    </row>
    <row r="11" spans="1:16">
      <c r="A11" s="128" t="s">
        <v>701</v>
      </c>
      <c r="B11" s="36" t="s">
        <v>1673</v>
      </c>
      <c r="C11" s="48">
        <v>3</v>
      </c>
      <c r="D11" s="38"/>
      <c r="E11" s="48"/>
      <c r="F11" s="48"/>
      <c r="G11" s="48"/>
      <c r="H11" s="48" t="s">
        <v>1674</v>
      </c>
      <c r="I11" s="48">
        <v>9.5</v>
      </c>
      <c r="J11" s="48" t="s">
        <v>1545</v>
      </c>
      <c r="K11" s="48">
        <v>5.5</v>
      </c>
      <c r="L11" s="48" t="s">
        <v>1675</v>
      </c>
      <c r="M11" s="48">
        <v>7.5</v>
      </c>
      <c r="N11" s="48"/>
      <c r="O11" s="18"/>
      <c r="P11" s="3">
        <f t="shared" si="0"/>
        <v>25.5</v>
      </c>
    </row>
    <row r="12" spans="1:16" ht="43.15">
      <c r="A12" s="163" t="s">
        <v>1377</v>
      </c>
      <c r="B12" s="135" t="s">
        <v>26</v>
      </c>
      <c r="C12" s="48"/>
      <c r="D12" s="157" t="s">
        <v>1676</v>
      </c>
      <c r="E12" s="48">
        <v>3.5</v>
      </c>
      <c r="F12" s="221" t="s">
        <v>1677</v>
      </c>
      <c r="G12" s="48">
        <v>5</v>
      </c>
      <c r="H12" s="137" t="s">
        <v>1678</v>
      </c>
      <c r="I12" s="48">
        <v>7.5</v>
      </c>
      <c r="J12" s="135" t="s">
        <v>26</v>
      </c>
      <c r="K12" s="48"/>
      <c r="L12" s="45" t="s">
        <v>589</v>
      </c>
      <c r="M12" s="48"/>
      <c r="N12" s="48"/>
      <c r="O12" s="18"/>
      <c r="P12" s="3">
        <f t="shared" si="0"/>
        <v>16</v>
      </c>
    </row>
    <row r="13" spans="1:16" ht="57.6">
      <c r="A13" s="163" t="s">
        <v>214</v>
      </c>
      <c r="B13" s="38"/>
      <c r="C13" s="48"/>
      <c r="D13" s="48" t="s">
        <v>1679</v>
      </c>
      <c r="E13" s="48">
        <v>7.5</v>
      </c>
      <c r="F13" s="45" t="s">
        <v>1680</v>
      </c>
      <c r="G13" s="48">
        <v>6.5</v>
      </c>
      <c r="H13" s="48" t="s">
        <v>1681</v>
      </c>
      <c r="I13" s="48">
        <v>5</v>
      </c>
      <c r="J13" s="48"/>
      <c r="K13" s="48"/>
      <c r="L13" s="165" t="s">
        <v>1682</v>
      </c>
      <c r="M13" s="48">
        <v>5</v>
      </c>
      <c r="N13" s="48"/>
      <c r="O13" s="18"/>
      <c r="P13" s="3">
        <f t="shared" si="0"/>
        <v>24</v>
      </c>
    </row>
    <row r="14" spans="1:16" ht="15" customHeight="1">
      <c r="A14" s="128" t="s">
        <v>698</v>
      </c>
      <c r="B14" s="38"/>
      <c r="C14" s="48"/>
      <c r="D14" s="38"/>
      <c r="E14" s="48"/>
      <c r="F14" s="48" t="s">
        <v>1618</v>
      </c>
      <c r="G14" s="48">
        <v>9.5</v>
      </c>
      <c r="H14" s="204" t="s">
        <v>1673</v>
      </c>
      <c r="I14" s="48">
        <v>3</v>
      </c>
      <c r="J14" s="129" t="s">
        <v>1683</v>
      </c>
      <c r="K14" s="48">
        <v>6</v>
      </c>
      <c r="L14" s="48" t="s">
        <v>1684</v>
      </c>
      <c r="M14" s="48">
        <v>1</v>
      </c>
      <c r="N14" s="48"/>
      <c r="O14" s="18"/>
      <c r="P14" s="3">
        <f t="shared" si="0"/>
        <v>19.5</v>
      </c>
    </row>
    <row r="15" spans="1:16" ht="28.9">
      <c r="A15" s="128" t="s">
        <v>1635</v>
      </c>
      <c r="B15" s="214" t="s">
        <v>1685</v>
      </c>
      <c r="C15" s="48">
        <v>5</v>
      </c>
      <c r="D15" s="225"/>
      <c r="E15" s="48"/>
      <c r="F15" s="214" t="s">
        <v>1686</v>
      </c>
      <c r="G15" s="48">
        <v>3.5</v>
      </c>
      <c r="H15" s="215"/>
      <c r="I15" s="48"/>
      <c r="J15" s="214" t="s">
        <v>1687</v>
      </c>
      <c r="K15" s="48">
        <v>5</v>
      </c>
      <c r="L15" s="60" t="s">
        <v>1688</v>
      </c>
      <c r="M15" s="48">
        <v>6.5</v>
      </c>
      <c r="N15" s="48"/>
      <c r="O15" s="18"/>
      <c r="P15" s="3">
        <f t="shared" si="0"/>
        <v>20</v>
      </c>
    </row>
    <row r="16" spans="1:16">
      <c r="A16" s="128" t="s">
        <v>1639</v>
      </c>
      <c r="B16" s="165" t="s">
        <v>1689</v>
      </c>
      <c r="C16" s="48">
        <v>6.5</v>
      </c>
      <c r="D16" s="165" t="s">
        <v>1689</v>
      </c>
      <c r="E16" s="48">
        <v>6.5</v>
      </c>
      <c r="F16" s="38"/>
      <c r="G16" s="48"/>
      <c r="H16" s="216" t="s">
        <v>1690</v>
      </c>
      <c r="I16" s="48">
        <v>6.5</v>
      </c>
      <c r="J16" s="36"/>
      <c r="K16" s="48"/>
      <c r="L16" s="36"/>
      <c r="M16" s="48"/>
      <c r="N16" s="48"/>
      <c r="O16" s="18"/>
      <c r="P16" s="3">
        <f t="shared" si="0"/>
        <v>19.5</v>
      </c>
    </row>
    <row r="17" spans="1:17" ht="28.9">
      <c r="A17" s="128" t="s">
        <v>1691</v>
      </c>
      <c r="B17" s="196" t="s">
        <v>1692</v>
      </c>
      <c r="C17" s="48">
        <v>1</v>
      </c>
      <c r="D17" s="48" t="s">
        <v>1693</v>
      </c>
      <c r="E17" s="48">
        <v>5</v>
      </c>
      <c r="F17" s="48" t="s">
        <v>26</v>
      </c>
      <c r="G17" s="48"/>
      <c r="H17" s="169" t="s">
        <v>26</v>
      </c>
      <c r="I17" s="48"/>
      <c r="J17" s="48" t="s">
        <v>1694</v>
      </c>
      <c r="K17" s="48">
        <v>4</v>
      </c>
      <c r="L17" s="48" t="s">
        <v>1695</v>
      </c>
      <c r="M17" s="48">
        <v>5</v>
      </c>
      <c r="N17" s="48"/>
      <c r="O17" s="18"/>
      <c r="P17" s="3">
        <f t="shared" si="0"/>
        <v>15</v>
      </c>
    </row>
    <row r="18" spans="1:17" ht="28.9">
      <c r="A18" s="45" t="s">
        <v>1696</v>
      </c>
      <c r="B18" s="84" t="s">
        <v>806</v>
      </c>
      <c r="C18" s="82"/>
      <c r="D18" s="84" t="s">
        <v>1697</v>
      </c>
      <c r="E18" s="82">
        <v>7.5</v>
      </c>
      <c r="F18" s="138"/>
      <c r="G18" s="82"/>
      <c r="H18" s="79" t="s">
        <v>1698</v>
      </c>
      <c r="I18" s="82">
        <v>4</v>
      </c>
      <c r="J18" s="140"/>
      <c r="K18" s="82"/>
      <c r="L18" s="141"/>
      <c r="M18" s="45"/>
      <c r="N18" s="45"/>
      <c r="O18" s="18"/>
      <c r="P18" s="3">
        <f t="shared" si="0"/>
        <v>11.5</v>
      </c>
    </row>
    <row r="19" spans="1:17" ht="28.9">
      <c r="A19" s="45" t="s">
        <v>1699</v>
      </c>
      <c r="B19" s="172" t="s">
        <v>1667</v>
      </c>
      <c r="C19" s="18">
        <v>5</v>
      </c>
      <c r="D19" s="82"/>
      <c r="E19" s="18"/>
      <c r="F19" s="60" t="s">
        <v>1700</v>
      </c>
      <c r="G19" s="18">
        <v>7</v>
      </c>
      <c r="H19" s="16" t="s">
        <v>1701</v>
      </c>
      <c r="I19" s="82">
        <v>3</v>
      </c>
      <c r="J19" s="82" t="s">
        <v>26</v>
      </c>
      <c r="K19" s="18">
        <v>0</v>
      </c>
      <c r="L19" s="173"/>
      <c r="M19" s="51"/>
      <c r="N19" s="48"/>
      <c r="O19" s="18"/>
      <c r="P19" s="3">
        <f t="shared" si="0"/>
        <v>15</v>
      </c>
    </row>
    <row r="20" spans="1:17">
      <c r="A20" s="45" t="s">
        <v>1479</v>
      </c>
      <c r="B20" s="16"/>
      <c r="C20" s="18"/>
      <c r="D20" s="143"/>
      <c r="E20" s="18"/>
      <c r="F20" s="144" t="s">
        <v>757</v>
      </c>
      <c r="G20" s="18">
        <v>5</v>
      </c>
      <c r="H20" s="82"/>
      <c r="I20" s="18"/>
      <c r="J20" s="82" t="s">
        <v>1702</v>
      </c>
      <c r="K20" s="18">
        <v>6.5</v>
      </c>
      <c r="L20" s="18" t="s">
        <v>1703</v>
      </c>
      <c r="M20" s="51">
        <v>5</v>
      </c>
      <c r="N20" s="48"/>
      <c r="O20" s="18"/>
      <c r="P20" s="3">
        <f t="shared" si="0"/>
        <v>16.5</v>
      </c>
    </row>
    <row r="21" spans="1:17">
      <c r="A21" s="52" t="s">
        <v>95</v>
      </c>
      <c r="B21" s="3"/>
      <c r="C21" s="3">
        <f>SUM(C6:C20)</f>
        <v>49</v>
      </c>
      <c r="D21" s="3"/>
      <c r="E21" s="3">
        <f>SUM(E6:E20)</f>
        <v>58</v>
      </c>
      <c r="F21" s="3"/>
      <c r="G21" s="3">
        <f>SUM(G6:G20)</f>
        <v>51</v>
      </c>
      <c r="H21" s="3"/>
      <c r="I21" s="3">
        <f>SUM(I6:I20)</f>
        <v>49</v>
      </c>
      <c r="J21" s="3"/>
      <c r="K21" s="3">
        <f>SUM(K6:K20)</f>
        <v>44.5</v>
      </c>
      <c r="L21" s="3"/>
      <c r="M21" s="3">
        <f>SUM(M6:M20)</f>
        <v>50.5</v>
      </c>
      <c r="N21" s="3"/>
      <c r="O21" s="3">
        <f>SUM(O9:O19)</f>
        <v>0</v>
      </c>
      <c r="P21" s="3">
        <f t="shared" si="0"/>
        <v>302</v>
      </c>
      <c r="Q21">
        <f>P21*20</f>
        <v>6040</v>
      </c>
    </row>
    <row r="22" spans="1:17">
      <c r="C22">
        <f>C21*20</f>
        <v>980</v>
      </c>
      <c r="E22">
        <f>E21*20</f>
        <v>1160</v>
      </c>
      <c r="G22">
        <f>G21*20</f>
        <v>1020</v>
      </c>
      <c r="I22">
        <f>I21*20</f>
        <v>980</v>
      </c>
      <c r="K22">
        <f>K21*20</f>
        <v>890</v>
      </c>
      <c r="M22">
        <f>M21*20</f>
        <v>1010</v>
      </c>
    </row>
    <row r="24" spans="1:17" ht="15" thickBot="1">
      <c r="A24" s="121"/>
      <c r="B24" s="117" t="s">
        <v>96</v>
      </c>
      <c r="C24" s="117"/>
      <c r="D24" s="121"/>
    </row>
    <row r="25" spans="1:17" ht="18.600000000000001" thickBot="1">
      <c r="A25" s="145" t="s">
        <v>97</v>
      </c>
      <c r="D25" s="434" t="s">
        <v>98</v>
      </c>
      <c r="E25" s="435"/>
      <c r="F25" s="435"/>
      <c r="G25" s="435"/>
      <c r="H25" s="435"/>
      <c r="I25" s="435"/>
      <c r="J25" s="436"/>
    </row>
    <row r="26" spans="1:17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17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17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17" ht="18.600000000000001" thickBot="1">
      <c r="A29" s="149" t="s">
        <v>111</v>
      </c>
      <c r="D29" s="434" t="s">
        <v>112</v>
      </c>
      <c r="E29" s="435"/>
      <c r="F29" s="435"/>
      <c r="G29" s="435"/>
      <c r="H29" s="435"/>
      <c r="I29" s="435"/>
      <c r="J29" s="436"/>
    </row>
    <row r="30" spans="1:17" ht="18">
      <c r="A30" s="150" t="s">
        <v>113</v>
      </c>
      <c r="D30" s="437" t="s">
        <v>1481</v>
      </c>
      <c r="E30" s="438"/>
      <c r="F30" s="438"/>
      <c r="G30" s="438"/>
      <c r="H30" s="438"/>
      <c r="I30" s="438"/>
      <c r="J30" s="439"/>
    </row>
    <row r="31" spans="1:17" ht="18">
      <c r="A31" s="151" t="s">
        <v>115</v>
      </c>
      <c r="D31" s="437" t="s">
        <v>116</v>
      </c>
      <c r="E31" s="438"/>
      <c r="F31" s="438"/>
      <c r="G31" s="438"/>
      <c r="H31" s="438"/>
      <c r="I31" s="438"/>
      <c r="J31" s="439"/>
    </row>
    <row r="32" spans="1:17" ht="18">
      <c r="A32" s="152" t="s">
        <v>117</v>
      </c>
      <c r="D32" s="437" t="s">
        <v>118</v>
      </c>
      <c r="E32" s="438"/>
      <c r="F32" s="438"/>
      <c r="G32" s="438"/>
      <c r="H32" s="438"/>
      <c r="I32" s="438"/>
      <c r="J32" s="439"/>
    </row>
    <row r="33" spans="4:10" ht="15" thickBot="1">
      <c r="D33" s="431" t="s">
        <v>119</v>
      </c>
      <c r="E33" s="432"/>
      <c r="F33" s="432"/>
      <c r="G33" s="432"/>
      <c r="H33" s="432"/>
      <c r="I33" s="432"/>
      <c r="J33" s="433"/>
    </row>
  </sheetData>
  <mergeCells count="6">
    <mergeCell ref="D33:J33"/>
    <mergeCell ref="D25:J25"/>
    <mergeCell ref="D29:J29"/>
    <mergeCell ref="D30:J30"/>
    <mergeCell ref="D31:J31"/>
    <mergeCell ref="D32:J32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07B1-9371-4836-8B9B-823776193F96}">
  <sheetPr>
    <tabColor theme="9"/>
  </sheetPr>
  <dimension ref="A1:S33"/>
  <sheetViews>
    <sheetView zoomScaleNormal="100" zoomScaleSheetLayoutView="100" workbookViewId="0">
      <selection activeCell="A16" sqref="A16"/>
    </sheetView>
  </sheetViews>
  <sheetFormatPr defaultRowHeight="14.45"/>
  <cols>
    <col min="1" max="1" width="26.28515625" customWidth="1"/>
    <col min="2" max="2" width="17.42578125" customWidth="1"/>
    <col min="3" max="3" width="5" bestFit="1" customWidth="1"/>
    <col min="4" max="4" width="20" customWidth="1"/>
    <col min="5" max="5" width="4.85546875" customWidth="1"/>
    <col min="6" max="6" width="21.28515625" customWidth="1"/>
    <col min="7" max="7" width="5.28515625" bestFit="1" customWidth="1"/>
    <col min="8" max="8" width="20.85546875" bestFit="1" customWidth="1"/>
    <col min="9" max="9" width="5.5703125" bestFit="1" customWidth="1"/>
    <col min="10" max="10" width="21" bestFit="1" customWidth="1"/>
    <col min="11" max="11" width="4.42578125" customWidth="1"/>
    <col min="12" max="12" width="16.28515625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1704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45985</v>
      </c>
      <c r="C2" s="3"/>
      <c r="D2" s="5">
        <v>45986</v>
      </c>
      <c r="E2" s="6"/>
      <c r="F2" s="5">
        <v>45987</v>
      </c>
      <c r="G2" s="6"/>
      <c r="H2" s="5">
        <v>45988</v>
      </c>
      <c r="I2" s="3"/>
      <c r="J2" s="5">
        <v>45989</v>
      </c>
      <c r="K2" s="3"/>
      <c r="L2" s="5">
        <v>45990</v>
      </c>
      <c r="M2" s="6"/>
      <c r="N2" s="5">
        <v>45991</v>
      </c>
      <c r="O2" s="7"/>
      <c r="P2" s="3"/>
    </row>
    <row r="3" spans="1:16" ht="82.5" customHeight="1">
      <c r="A3" s="8" t="s">
        <v>9</v>
      </c>
      <c r="B3" s="9"/>
      <c r="C3" s="13"/>
      <c r="D3" s="191" t="s">
        <v>1705</v>
      </c>
      <c r="E3" s="192"/>
      <c r="F3" s="206" t="s">
        <v>1706</v>
      </c>
      <c r="G3" s="192"/>
      <c r="H3" s="193" t="s">
        <v>1707</v>
      </c>
      <c r="I3" s="10"/>
      <c r="J3" s="194" t="s">
        <v>1708</v>
      </c>
      <c r="K3" s="13"/>
      <c r="L3" s="93"/>
      <c r="M3" s="13"/>
      <c r="N3" s="14"/>
      <c r="O3" s="15"/>
      <c r="P3" s="3"/>
    </row>
    <row r="4" spans="1:16" ht="28.9">
      <c r="A4" s="16" t="s">
        <v>14</v>
      </c>
      <c r="B4" s="19" t="s">
        <v>16</v>
      </c>
      <c r="C4" s="18">
        <v>8</v>
      </c>
      <c r="D4" s="19" t="s">
        <v>1709</v>
      </c>
      <c r="E4" s="18">
        <v>10.5</v>
      </c>
      <c r="F4" s="19" t="s">
        <v>1710</v>
      </c>
      <c r="G4" s="18">
        <v>8</v>
      </c>
      <c r="H4" s="19" t="s">
        <v>1711</v>
      </c>
      <c r="I4" s="18">
        <v>12.5</v>
      </c>
      <c r="J4" s="19" t="s">
        <v>1712</v>
      </c>
      <c r="K4" s="18">
        <f>5+6</f>
        <v>11</v>
      </c>
      <c r="L4" s="94" t="s">
        <v>1713</v>
      </c>
      <c r="M4" s="18">
        <v>6</v>
      </c>
      <c r="N4" s="18" t="s">
        <v>17</v>
      </c>
      <c r="O4" s="18"/>
      <c r="P4" s="3">
        <f t="shared" ref="P4:P21" si="0">SUM(O4,M4,K4,I4,G4,E4,C4)</f>
        <v>56</v>
      </c>
    </row>
    <row r="5" spans="1:16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15</v>
      </c>
      <c r="G5" s="24">
        <v>8</v>
      </c>
      <c r="H5" s="26" t="s">
        <v>15</v>
      </c>
      <c r="I5" s="24">
        <v>8</v>
      </c>
      <c r="J5" s="26" t="s">
        <v>1714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16" ht="43.15">
      <c r="A6" s="163" t="s">
        <v>1444</v>
      </c>
      <c r="B6" s="48" t="s">
        <v>1715</v>
      </c>
      <c r="C6" s="48">
        <v>7.5</v>
      </c>
      <c r="D6" s="165" t="s">
        <v>1716</v>
      </c>
      <c r="E6" s="48">
        <v>6.5</v>
      </c>
      <c r="F6" s="165" t="s">
        <v>1717</v>
      </c>
      <c r="G6" s="48">
        <v>3.5</v>
      </c>
      <c r="H6" s="36" t="s">
        <v>1718</v>
      </c>
      <c r="I6" s="48">
        <v>4</v>
      </c>
      <c r="J6" s="48" t="s">
        <v>1719</v>
      </c>
      <c r="K6" s="48">
        <v>4.5</v>
      </c>
      <c r="L6" s="87" t="s">
        <v>1675</v>
      </c>
      <c r="M6" s="48">
        <v>7.5</v>
      </c>
      <c r="N6" s="48"/>
      <c r="O6" s="18"/>
      <c r="P6" s="3">
        <f t="shared" si="0"/>
        <v>33.5</v>
      </c>
    </row>
    <row r="7" spans="1:16" ht="43.15">
      <c r="A7" s="163" t="s">
        <v>214</v>
      </c>
      <c r="B7" s="38"/>
      <c r="C7" s="48"/>
      <c r="D7" s="45" t="s">
        <v>1720</v>
      </c>
      <c r="E7" s="48">
        <v>8</v>
      </c>
      <c r="F7" s="238" t="s">
        <v>1721</v>
      </c>
      <c r="G7" s="48">
        <v>8</v>
      </c>
      <c r="H7" s="195" t="s">
        <v>1722</v>
      </c>
      <c r="I7" s="48">
        <v>8</v>
      </c>
      <c r="J7" s="48"/>
      <c r="K7" s="48"/>
      <c r="L7" s="87"/>
      <c r="M7" s="48"/>
      <c r="N7" s="48"/>
      <c r="O7" s="18"/>
      <c r="P7" s="3">
        <f t="shared" si="0"/>
        <v>24</v>
      </c>
    </row>
    <row r="8" spans="1:16" ht="28.9">
      <c r="A8" s="163" t="s">
        <v>694</v>
      </c>
      <c r="B8" s="60" t="s">
        <v>1723</v>
      </c>
      <c r="C8" s="48">
        <v>7.5</v>
      </c>
      <c r="D8" s="48" t="s">
        <v>1665</v>
      </c>
      <c r="E8" s="48">
        <v>7.5</v>
      </c>
      <c r="F8" s="133" t="s">
        <v>1724</v>
      </c>
      <c r="G8" s="18">
        <v>2.5</v>
      </c>
      <c r="H8" s="157"/>
      <c r="I8" s="48"/>
      <c r="J8" s="165" t="s">
        <v>1725</v>
      </c>
      <c r="K8" s="48">
        <v>7.5</v>
      </c>
      <c r="L8" s="38"/>
      <c r="M8" s="47"/>
      <c r="N8" s="48"/>
      <c r="O8" s="18"/>
      <c r="P8" s="3">
        <f t="shared" si="0"/>
        <v>25</v>
      </c>
    </row>
    <row r="9" spans="1:16">
      <c r="A9" s="163" t="s">
        <v>1377</v>
      </c>
      <c r="B9" s="136" t="s">
        <v>1726</v>
      </c>
      <c r="C9" s="48">
        <v>6</v>
      </c>
      <c r="D9" s="136" t="s">
        <v>26</v>
      </c>
      <c r="E9" s="48"/>
      <c r="F9" s="135"/>
      <c r="G9" s="48"/>
      <c r="H9" s="135"/>
      <c r="I9" s="48"/>
      <c r="J9" s="136" t="s">
        <v>1727</v>
      </c>
      <c r="K9" s="48">
        <v>5</v>
      </c>
      <c r="L9" s="87"/>
      <c r="M9" s="48"/>
      <c r="N9" s="48"/>
      <c r="O9" s="18"/>
      <c r="P9" s="3">
        <f t="shared" si="0"/>
        <v>11</v>
      </c>
    </row>
    <row r="10" spans="1:16" ht="28.9">
      <c r="A10" s="163" t="s">
        <v>1461</v>
      </c>
      <c r="B10" s="165"/>
      <c r="C10" s="48"/>
      <c r="D10" s="133" t="s">
        <v>1728</v>
      </c>
      <c r="E10" s="48">
        <v>3.5</v>
      </c>
      <c r="F10" s="133" t="s">
        <v>1728</v>
      </c>
      <c r="G10" s="48">
        <v>3.5</v>
      </c>
      <c r="H10" s="158" t="s">
        <v>1729</v>
      </c>
      <c r="I10" s="48">
        <v>6.5</v>
      </c>
      <c r="J10" s="101"/>
      <c r="K10" s="48"/>
      <c r="L10" s="165" t="s">
        <v>1730</v>
      </c>
      <c r="M10" s="48">
        <v>9.5</v>
      </c>
      <c r="N10" s="48"/>
      <c r="O10" s="18"/>
      <c r="P10" s="3">
        <f t="shared" si="0"/>
        <v>23</v>
      </c>
    </row>
    <row r="11" spans="1:16" ht="22.5" customHeight="1">
      <c r="A11" s="128" t="s">
        <v>698</v>
      </c>
      <c r="B11" s="38"/>
      <c r="C11" s="48"/>
      <c r="D11" s="38"/>
      <c r="E11" s="48"/>
      <c r="F11" s="48" t="s">
        <v>1731</v>
      </c>
      <c r="G11" s="48">
        <v>10.5</v>
      </c>
      <c r="H11" s="129" t="s">
        <v>1732</v>
      </c>
      <c r="I11" s="48">
        <v>3.5</v>
      </c>
      <c r="J11" s="129" t="s">
        <v>1672</v>
      </c>
      <c r="K11" s="48">
        <v>3.5</v>
      </c>
      <c r="L11" s="38"/>
      <c r="M11" s="48"/>
      <c r="N11" s="48"/>
      <c r="O11" s="18"/>
      <c r="P11" s="3">
        <f t="shared" si="0"/>
        <v>17.5</v>
      </c>
    </row>
    <row r="12" spans="1:16" ht="28.9">
      <c r="A12" s="163" t="s">
        <v>1468</v>
      </c>
      <c r="B12" s="196" t="s">
        <v>1733</v>
      </c>
      <c r="C12" s="48">
        <v>4</v>
      </c>
      <c r="D12" s="196" t="s">
        <v>1733</v>
      </c>
      <c r="E12" s="48">
        <v>4</v>
      </c>
      <c r="F12" s="196" t="s">
        <v>1733</v>
      </c>
      <c r="G12" s="48">
        <v>4</v>
      </c>
      <c r="H12" s="197" t="s">
        <v>1734</v>
      </c>
      <c r="I12" s="48">
        <v>3.5</v>
      </c>
      <c r="J12" s="196" t="s">
        <v>1733</v>
      </c>
      <c r="K12" s="48">
        <v>4</v>
      </c>
      <c r="L12" s="60" t="s">
        <v>1735</v>
      </c>
      <c r="M12" s="47">
        <v>5</v>
      </c>
      <c r="N12" s="48"/>
      <c r="O12" s="18"/>
      <c r="P12" s="3">
        <f t="shared" si="0"/>
        <v>24.5</v>
      </c>
    </row>
    <row r="13" spans="1:16">
      <c r="A13" s="128" t="s">
        <v>701</v>
      </c>
      <c r="B13" s="36" t="s">
        <v>1624</v>
      </c>
      <c r="C13" s="48">
        <v>4</v>
      </c>
      <c r="D13" s="38"/>
      <c r="E13" s="48"/>
      <c r="F13" s="211" t="s">
        <v>1736</v>
      </c>
      <c r="G13" s="48">
        <v>4.5</v>
      </c>
      <c r="H13" s="48" t="s">
        <v>1737</v>
      </c>
      <c r="I13" s="48">
        <v>7.5</v>
      </c>
      <c r="J13" s="48" t="s">
        <v>1738</v>
      </c>
      <c r="K13" s="48">
        <v>7.5</v>
      </c>
      <c r="L13" s="48"/>
      <c r="M13" s="48"/>
      <c r="N13" s="48"/>
      <c r="O13" s="18"/>
      <c r="P13" s="3">
        <f t="shared" si="0"/>
        <v>23.5</v>
      </c>
    </row>
    <row r="14" spans="1:16" ht="28.9">
      <c r="A14" s="128" t="s">
        <v>1739</v>
      </c>
      <c r="B14" s="211" t="s">
        <v>1740</v>
      </c>
      <c r="C14" s="48">
        <v>5.5</v>
      </c>
      <c r="D14" s="211" t="s">
        <v>1618</v>
      </c>
      <c r="E14" s="48">
        <v>9.5</v>
      </c>
      <c r="F14" s="48" t="s">
        <v>1741</v>
      </c>
      <c r="G14" s="48">
        <v>3.5</v>
      </c>
      <c r="H14" s="136" t="s">
        <v>1742</v>
      </c>
      <c r="I14" s="48">
        <v>5.5</v>
      </c>
      <c r="J14" s="48"/>
      <c r="K14" s="48"/>
      <c r="L14" s="129" t="s">
        <v>1629</v>
      </c>
      <c r="M14" s="48">
        <v>4</v>
      </c>
      <c r="N14" s="48"/>
      <c r="O14" s="18"/>
      <c r="P14" s="3">
        <f t="shared" si="0"/>
        <v>28</v>
      </c>
    </row>
    <row r="15" spans="1:16">
      <c r="A15" s="128"/>
      <c r="B15" s="48"/>
      <c r="C15" s="48"/>
      <c r="D15" s="164"/>
      <c r="E15" s="48"/>
      <c r="F15" s="48"/>
      <c r="G15" s="48"/>
      <c r="H15" s="169"/>
      <c r="I15" s="48"/>
      <c r="J15" s="48"/>
      <c r="K15" s="48"/>
      <c r="L15" s="48"/>
      <c r="M15" s="48"/>
      <c r="N15" s="48"/>
      <c r="O15" s="18"/>
      <c r="P15" s="3">
        <f t="shared" si="0"/>
        <v>0</v>
      </c>
    </row>
    <row r="16" spans="1:16" ht="21.75" customHeight="1">
      <c r="A16" s="45" t="s">
        <v>1743</v>
      </c>
      <c r="B16" s="64" t="s">
        <v>1744</v>
      </c>
      <c r="C16" s="18">
        <v>7</v>
      </c>
      <c r="D16" s="82"/>
      <c r="E16" s="82"/>
      <c r="F16" s="212" t="s">
        <v>1745</v>
      </c>
      <c r="G16" s="82">
        <v>5</v>
      </c>
      <c r="H16" s="139" t="s">
        <v>1746</v>
      </c>
      <c r="I16" s="82">
        <v>3</v>
      </c>
      <c r="J16" s="140"/>
      <c r="K16" s="82"/>
      <c r="L16" s="141"/>
      <c r="M16" s="45"/>
      <c r="N16" s="45"/>
      <c r="O16" s="18"/>
      <c r="P16" s="3">
        <f t="shared" si="0"/>
        <v>15</v>
      </c>
    </row>
    <row r="17" spans="1:19" s="190" customFormat="1" ht="28.9">
      <c r="A17" s="198" t="s">
        <v>1747</v>
      </c>
      <c r="B17" s="203" t="s">
        <v>1748</v>
      </c>
      <c r="C17" s="18">
        <v>5</v>
      </c>
      <c r="D17" s="200"/>
      <c r="E17" s="199"/>
      <c r="F17" s="201"/>
      <c r="G17" s="199"/>
      <c r="H17" s="202" t="s">
        <v>1749</v>
      </c>
      <c r="I17" s="18">
        <v>7.5</v>
      </c>
      <c r="J17" s="203" t="s">
        <v>1750</v>
      </c>
      <c r="K17" s="18">
        <v>5</v>
      </c>
      <c r="L17" s="199"/>
      <c r="M17" s="199"/>
      <c r="N17" s="198"/>
      <c r="O17" s="203"/>
      <c r="P17" s="3">
        <f t="shared" si="0"/>
        <v>17.5</v>
      </c>
      <c r="S17"/>
    </row>
    <row r="18" spans="1:19">
      <c r="A18" s="45" t="s">
        <v>1751</v>
      </c>
      <c r="B18" s="172" t="s">
        <v>1752</v>
      </c>
      <c r="C18" s="18">
        <v>5</v>
      </c>
      <c r="D18" s="18" t="s">
        <v>1753</v>
      </c>
      <c r="E18" s="18">
        <v>7.5</v>
      </c>
      <c r="F18" s="18" t="s">
        <v>1754</v>
      </c>
      <c r="G18" s="18">
        <v>5.5</v>
      </c>
      <c r="H18" s="204" t="s">
        <v>1755</v>
      </c>
      <c r="I18" s="18">
        <v>5</v>
      </c>
      <c r="J18" s="82"/>
      <c r="K18" s="18"/>
      <c r="L18" s="173"/>
      <c r="M18" s="51"/>
      <c r="N18" s="48"/>
      <c r="O18" s="18"/>
      <c r="P18" s="3">
        <f t="shared" si="0"/>
        <v>23</v>
      </c>
    </row>
    <row r="19" spans="1:19" ht="28.9">
      <c r="A19" s="45" t="s">
        <v>1479</v>
      </c>
      <c r="B19" s="16"/>
      <c r="C19" s="18"/>
      <c r="D19" s="143"/>
      <c r="E19" s="18"/>
      <c r="F19" s="205" t="s">
        <v>1756</v>
      </c>
      <c r="G19" s="18">
        <v>3</v>
      </c>
      <c r="H19" s="82" t="s">
        <v>1757</v>
      </c>
      <c r="I19" s="18">
        <v>7.5</v>
      </c>
      <c r="J19" s="82"/>
      <c r="K19" s="18"/>
      <c r="L19" s="18"/>
      <c r="M19" s="51"/>
      <c r="N19" s="48"/>
      <c r="O19" s="18"/>
      <c r="P19" s="3">
        <f t="shared" si="0"/>
        <v>10.5</v>
      </c>
    </row>
    <row r="20" spans="1:19">
      <c r="A20" s="45"/>
      <c r="B20" s="82"/>
      <c r="C20" s="18"/>
      <c r="D20" s="82"/>
      <c r="E20" s="18"/>
      <c r="F20" s="85"/>
      <c r="G20" s="18"/>
      <c r="H20" s="82"/>
      <c r="I20" s="18"/>
      <c r="J20" s="82"/>
      <c r="K20" s="18"/>
      <c r="L20" s="18"/>
      <c r="M20" s="51"/>
      <c r="N20" s="48"/>
      <c r="O20" s="18"/>
      <c r="P20" s="3">
        <f t="shared" si="0"/>
        <v>0</v>
      </c>
    </row>
    <row r="21" spans="1:19">
      <c r="A21" s="52" t="s">
        <v>95</v>
      </c>
      <c r="B21" s="3"/>
      <c r="C21" s="3">
        <f>SUM(C6:C20)</f>
        <v>51.5</v>
      </c>
      <c r="D21" s="3"/>
      <c r="E21" s="3">
        <f>SUM(E6:E20)</f>
        <v>46.5</v>
      </c>
      <c r="F21" s="3"/>
      <c r="G21" s="3">
        <f>SUM(G6:G20)</f>
        <v>53.5</v>
      </c>
      <c r="H21" s="3"/>
      <c r="I21" s="3">
        <f>SUM(I6:I20)</f>
        <v>61.5</v>
      </c>
      <c r="J21" s="3"/>
      <c r="K21" s="3">
        <f>SUM(K6:K20)</f>
        <v>37</v>
      </c>
      <c r="L21" s="3"/>
      <c r="M21" s="3">
        <f>SUM(M6:M20)</f>
        <v>26</v>
      </c>
      <c r="N21" s="3"/>
      <c r="O21" s="3">
        <f>SUM(O8:O19)</f>
        <v>0</v>
      </c>
      <c r="P21" s="3">
        <f t="shared" si="0"/>
        <v>276</v>
      </c>
      <c r="Q21">
        <f>P21*20</f>
        <v>5520</v>
      </c>
    </row>
    <row r="22" spans="1:19">
      <c r="C22">
        <f>C21*20</f>
        <v>1030</v>
      </c>
      <c r="E22">
        <f>E21*20</f>
        <v>930</v>
      </c>
      <c r="G22">
        <f>G21*20</f>
        <v>1070</v>
      </c>
      <c r="I22">
        <f>I21*20</f>
        <v>1230</v>
      </c>
      <c r="K22">
        <f>K21*20</f>
        <v>740</v>
      </c>
      <c r="M22">
        <f>M21*20</f>
        <v>520</v>
      </c>
    </row>
    <row r="24" spans="1:19" ht="15" thickBot="1">
      <c r="A24" s="121"/>
      <c r="B24" s="117" t="s">
        <v>96</v>
      </c>
      <c r="C24" s="210"/>
      <c r="D24" s="121"/>
    </row>
    <row r="25" spans="1:19" ht="18.600000000000001" thickBot="1">
      <c r="A25" s="145" t="s">
        <v>97</v>
      </c>
      <c r="D25" s="207" t="s">
        <v>98</v>
      </c>
      <c r="E25" s="208"/>
      <c r="F25" s="208"/>
      <c r="G25" s="208"/>
      <c r="H25" s="208"/>
      <c r="I25" s="208"/>
      <c r="J25" s="209"/>
    </row>
    <row r="26" spans="1:19" ht="18">
      <c r="A26" s="146" t="s">
        <v>99</v>
      </c>
      <c r="D26" s="174" t="s">
        <v>100</v>
      </c>
      <c r="E26" s="175"/>
      <c r="F26" s="175" t="s">
        <v>101</v>
      </c>
      <c r="G26" s="175"/>
      <c r="H26" s="175" t="s">
        <v>102</v>
      </c>
      <c r="I26" s="175"/>
      <c r="J26" s="176" t="s">
        <v>103</v>
      </c>
    </row>
    <row r="27" spans="1:19" ht="18.600000000000001" thickBot="1">
      <c r="A27" s="147" t="s">
        <v>104</v>
      </c>
      <c r="D27" s="177" t="s">
        <v>105</v>
      </c>
      <c r="E27" s="178"/>
      <c r="F27" s="178" t="s">
        <v>106</v>
      </c>
      <c r="G27" s="178"/>
      <c r="H27" s="178" t="s">
        <v>107</v>
      </c>
      <c r="I27" s="178"/>
      <c r="J27" s="179" t="s">
        <v>108</v>
      </c>
    </row>
    <row r="28" spans="1:19" ht="18.600000000000001" thickBot="1">
      <c r="A28" s="148" t="s">
        <v>109</v>
      </c>
      <c r="D28" s="175" t="s">
        <v>110</v>
      </c>
      <c r="E28" s="175"/>
      <c r="F28" s="175"/>
      <c r="G28" s="175"/>
      <c r="H28" s="175"/>
      <c r="I28" s="175"/>
      <c r="J28" s="175"/>
    </row>
    <row r="29" spans="1:19" ht="18.600000000000001" thickBot="1">
      <c r="A29" s="149" t="s">
        <v>111</v>
      </c>
      <c r="D29" s="207" t="s">
        <v>112</v>
      </c>
      <c r="E29" s="208"/>
      <c r="F29" s="208"/>
      <c r="G29" s="208"/>
      <c r="H29" s="208"/>
      <c r="I29" s="208"/>
      <c r="J29" s="209"/>
    </row>
    <row r="30" spans="1:19" ht="26.25" customHeight="1">
      <c r="A30" s="150" t="s">
        <v>113</v>
      </c>
      <c r="D30" s="174" t="s">
        <v>1481</v>
      </c>
      <c r="E30" s="175"/>
      <c r="F30" s="175"/>
      <c r="G30" s="175"/>
      <c r="H30" s="175"/>
      <c r="I30" s="175"/>
      <c r="J30" s="176"/>
    </row>
    <row r="31" spans="1:19" ht="18">
      <c r="A31" s="151" t="s">
        <v>115</v>
      </c>
      <c r="D31" s="174" t="s">
        <v>116</v>
      </c>
      <c r="E31" s="175"/>
      <c r="F31" s="175"/>
      <c r="G31" s="175"/>
      <c r="H31" s="175"/>
      <c r="I31" s="175"/>
      <c r="J31" s="176"/>
    </row>
    <row r="32" spans="1:19" ht="18">
      <c r="A32" s="152" t="s">
        <v>117</v>
      </c>
      <c r="D32" s="174" t="s">
        <v>118</v>
      </c>
      <c r="E32" s="175"/>
      <c r="F32" s="175"/>
      <c r="G32" s="175"/>
      <c r="H32" s="175"/>
      <c r="I32" s="175"/>
      <c r="J32" s="176"/>
    </row>
    <row r="33" spans="4:10" ht="15" thickBot="1">
      <c r="D33" s="177" t="s">
        <v>119</v>
      </c>
      <c r="E33" s="178"/>
      <c r="F33" s="178"/>
      <c r="G33" s="178"/>
      <c r="H33" s="178"/>
      <c r="I33" s="178"/>
      <c r="J33" s="179"/>
    </row>
  </sheetData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6DEC-76C4-42AD-A0BA-601576C32847}">
  <sheetPr>
    <tabColor theme="9"/>
  </sheetPr>
  <dimension ref="A1:Q34"/>
  <sheetViews>
    <sheetView zoomScaleNormal="100" zoomScaleSheetLayoutView="100" workbookViewId="0">
      <selection activeCell="M5" sqref="M5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5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7.7109375" customWidth="1"/>
    <col min="16" max="16" width="7.57031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45978</v>
      </c>
      <c r="C2" s="6"/>
      <c r="D2" s="5">
        <v>45979</v>
      </c>
      <c r="E2" s="6"/>
      <c r="F2" s="5">
        <v>45980</v>
      </c>
      <c r="G2" s="6"/>
      <c r="H2" s="5">
        <v>45981</v>
      </c>
      <c r="I2" s="6"/>
      <c r="J2" s="5">
        <v>45982</v>
      </c>
      <c r="K2" s="6"/>
      <c r="L2" s="5">
        <v>45983</v>
      </c>
      <c r="M2" s="6"/>
      <c r="N2" s="5">
        <v>45984</v>
      </c>
      <c r="O2" s="7"/>
      <c r="P2" s="3"/>
    </row>
    <row r="3" spans="1:16" ht="24">
      <c r="A3" s="8" t="s">
        <v>9</v>
      </c>
      <c r="B3" s="9"/>
      <c r="C3" s="10"/>
      <c r="D3" s="188" t="s">
        <v>1758</v>
      </c>
      <c r="E3" s="186"/>
      <c r="F3" s="189" t="s">
        <v>1759</v>
      </c>
      <c r="G3" s="186"/>
      <c r="H3" s="189" t="s">
        <v>1760</v>
      </c>
      <c r="I3" s="186"/>
      <c r="J3" s="187" t="s">
        <v>1708</v>
      </c>
      <c r="K3" s="10"/>
      <c r="L3" s="93"/>
      <c r="M3" s="13"/>
      <c r="N3" s="14"/>
      <c r="O3" s="15"/>
      <c r="P3" s="3"/>
    </row>
    <row r="4" spans="1:16" ht="28.9">
      <c r="A4" s="16" t="s">
        <v>14</v>
      </c>
      <c r="B4" s="19" t="s">
        <v>1761</v>
      </c>
      <c r="C4" s="18">
        <v>8.5</v>
      </c>
      <c r="D4" s="19" t="s">
        <v>342</v>
      </c>
      <c r="E4" s="18">
        <v>12</v>
      </c>
      <c r="F4" s="19" t="s">
        <v>578</v>
      </c>
      <c r="G4" s="18">
        <v>9.5</v>
      </c>
      <c r="H4" s="19" t="s">
        <v>16</v>
      </c>
      <c r="I4" s="18">
        <v>8</v>
      </c>
      <c r="J4" s="19" t="s">
        <v>1762</v>
      </c>
      <c r="K4" s="18">
        <v>16</v>
      </c>
      <c r="L4" s="94" t="s">
        <v>1763</v>
      </c>
      <c r="M4" s="18">
        <v>6</v>
      </c>
      <c r="N4" s="18" t="s">
        <v>17</v>
      </c>
      <c r="O4" s="18"/>
      <c r="P4" s="3">
        <f t="shared" ref="P4:P22" si="0">SUM(O4,M4,K4,I4,G4,E4,C4)</f>
        <v>60</v>
      </c>
    </row>
    <row r="5" spans="1:16">
      <c r="A5" s="22" t="s">
        <v>18</v>
      </c>
      <c r="B5" s="26" t="s">
        <v>15</v>
      </c>
      <c r="C5" s="24">
        <v>8</v>
      </c>
      <c r="D5" s="26" t="s">
        <v>15</v>
      </c>
      <c r="E5" s="24">
        <v>8</v>
      </c>
      <c r="F5" s="26" t="s">
        <v>578</v>
      </c>
      <c r="G5" s="24">
        <v>9.5</v>
      </c>
      <c r="H5" s="26" t="s">
        <v>15</v>
      </c>
      <c r="I5" s="24">
        <v>8</v>
      </c>
      <c r="J5" s="26" t="s">
        <v>15</v>
      </c>
      <c r="K5" s="24">
        <v>8</v>
      </c>
      <c r="L5" s="24"/>
      <c r="M5" s="95"/>
      <c r="N5" s="24"/>
      <c r="O5" s="18"/>
      <c r="P5" s="3">
        <f t="shared" si="0"/>
        <v>41.5</v>
      </c>
    </row>
    <row r="6" spans="1:16">
      <c r="A6" s="163" t="s">
        <v>1461</v>
      </c>
      <c r="B6" s="165" t="s">
        <v>1764</v>
      </c>
      <c r="C6" s="48">
        <v>7</v>
      </c>
      <c r="D6" s="133" t="s">
        <v>1765</v>
      </c>
      <c r="E6" s="48">
        <v>3.5</v>
      </c>
      <c r="F6" s="45"/>
      <c r="G6" s="48"/>
      <c r="H6" s="158" t="s">
        <v>1729</v>
      </c>
      <c r="I6" s="48">
        <v>6.5</v>
      </c>
      <c r="J6" s="101"/>
      <c r="K6" s="48"/>
      <c r="L6" s="165" t="s">
        <v>1766</v>
      </c>
      <c r="M6" s="48">
        <v>7</v>
      </c>
      <c r="N6" s="48"/>
      <c r="O6" s="18"/>
      <c r="P6" s="3">
        <f t="shared" si="0"/>
        <v>24</v>
      </c>
    </row>
    <row r="7" spans="1:16" ht="28.9">
      <c r="A7" s="163" t="s">
        <v>1444</v>
      </c>
      <c r="B7" s="48" t="s">
        <v>1767</v>
      </c>
      <c r="C7" s="48">
        <v>2.5</v>
      </c>
      <c r="D7" s="164" t="s">
        <v>1768</v>
      </c>
      <c r="E7" s="48">
        <v>8</v>
      </c>
      <c r="F7" s="165"/>
      <c r="G7" s="48"/>
      <c r="H7" s="36" t="s">
        <v>1769</v>
      </c>
      <c r="I7" s="48">
        <v>4</v>
      </c>
      <c r="J7" s="48" t="s">
        <v>1672</v>
      </c>
      <c r="K7" s="48">
        <v>3.5</v>
      </c>
      <c r="L7" s="165" t="s">
        <v>1770</v>
      </c>
      <c r="M7" s="47">
        <v>9.5</v>
      </c>
      <c r="N7" s="48"/>
      <c r="O7" s="18">
        <v>3</v>
      </c>
      <c r="P7" s="3">
        <f t="shared" si="0"/>
        <v>30.5</v>
      </c>
    </row>
    <row r="8" spans="1:16" ht="33.75" customHeight="1">
      <c r="A8" s="163" t="s">
        <v>1468</v>
      </c>
      <c r="B8" s="168" t="s">
        <v>1771</v>
      </c>
      <c r="C8" s="48">
        <v>7.5</v>
      </c>
      <c r="D8" s="168" t="s">
        <v>1772</v>
      </c>
      <c r="E8" s="48">
        <v>7.5</v>
      </c>
      <c r="F8" s="168" t="s">
        <v>1771</v>
      </c>
      <c r="G8" s="48">
        <v>7.5</v>
      </c>
      <c r="H8" s="130"/>
      <c r="I8" s="48"/>
      <c r="J8" s="157"/>
      <c r="K8" s="48"/>
      <c r="L8" s="38"/>
      <c r="M8" s="48"/>
      <c r="N8" s="48"/>
      <c r="O8" s="18"/>
      <c r="P8" s="3">
        <f t="shared" si="0"/>
        <v>22.5</v>
      </c>
    </row>
    <row r="9" spans="1:16">
      <c r="A9" s="163" t="s">
        <v>694</v>
      </c>
      <c r="B9" s="48" t="s">
        <v>1773</v>
      </c>
      <c r="C9" s="48">
        <v>6</v>
      </c>
      <c r="D9" s="165"/>
      <c r="E9" s="48"/>
      <c r="F9" s="133" t="s">
        <v>1774</v>
      </c>
      <c r="G9" s="18">
        <v>4</v>
      </c>
      <c r="H9" s="157" t="s">
        <v>1775</v>
      </c>
      <c r="I9" s="48">
        <v>6.5</v>
      </c>
      <c r="J9" s="165" t="s">
        <v>1776</v>
      </c>
      <c r="K9" s="48">
        <v>7.5</v>
      </c>
      <c r="L9" s="38"/>
      <c r="M9" s="48"/>
      <c r="N9" s="48"/>
      <c r="O9" s="18"/>
      <c r="P9" s="3">
        <f t="shared" si="0"/>
        <v>24</v>
      </c>
    </row>
    <row r="10" spans="1:16">
      <c r="A10" s="128" t="s">
        <v>1739</v>
      </c>
      <c r="B10" s="48"/>
      <c r="C10" s="48"/>
      <c r="D10" s="164" t="s">
        <v>1777</v>
      </c>
      <c r="E10" s="48">
        <v>9.5</v>
      </c>
      <c r="F10" s="48" t="s">
        <v>1778</v>
      </c>
      <c r="G10" s="48">
        <v>4.5</v>
      </c>
      <c r="H10" s="137" t="s">
        <v>1779</v>
      </c>
      <c r="I10" s="47">
        <v>3</v>
      </c>
      <c r="J10" s="167"/>
      <c r="K10" s="167"/>
      <c r="L10" s="184" t="s">
        <v>1629</v>
      </c>
      <c r="M10" s="48">
        <v>4</v>
      </c>
      <c r="N10" s="48"/>
      <c r="O10" s="18">
        <v>4</v>
      </c>
      <c r="P10" s="3">
        <f t="shared" si="0"/>
        <v>25</v>
      </c>
    </row>
    <row r="11" spans="1:16" ht="28.9">
      <c r="A11" s="128" t="s">
        <v>701</v>
      </c>
      <c r="B11" s="48" t="s">
        <v>1780</v>
      </c>
      <c r="C11" s="48">
        <v>3.5</v>
      </c>
      <c r="D11" s="38"/>
      <c r="E11" s="48"/>
      <c r="F11" s="48" t="s">
        <v>1781</v>
      </c>
      <c r="G11" s="48">
        <v>5.5</v>
      </c>
      <c r="H11" s="48" t="s">
        <v>1782</v>
      </c>
      <c r="I11" s="48">
        <v>5.5</v>
      </c>
      <c r="J11" s="48" t="s">
        <v>1783</v>
      </c>
      <c r="K11" s="48">
        <v>5.5</v>
      </c>
      <c r="L11" s="48"/>
      <c r="M11" s="48"/>
      <c r="N11" s="48"/>
      <c r="O11" s="18"/>
      <c r="P11" s="3">
        <f t="shared" si="0"/>
        <v>20</v>
      </c>
    </row>
    <row r="12" spans="1:16" ht="28.9">
      <c r="A12" s="163" t="s">
        <v>1377</v>
      </c>
      <c r="B12" s="135" t="s">
        <v>1784</v>
      </c>
      <c r="C12" s="48">
        <v>4</v>
      </c>
      <c r="D12" s="168" t="s">
        <v>1785</v>
      </c>
      <c r="E12" s="48">
        <v>6</v>
      </c>
      <c r="F12" s="168" t="s">
        <v>1786</v>
      </c>
      <c r="G12" s="48">
        <v>3.5</v>
      </c>
      <c r="H12" s="135" t="s">
        <v>1787</v>
      </c>
      <c r="I12" s="48">
        <v>4</v>
      </c>
      <c r="J12" s="157" t="s">
        <v>1788</v>
      </c>
      <c r="K12" s="48">
        <v>6</v>
      </c>
      <c r="L12" s="48"/>
      <c r="M12" s="48"/>
      <c r="N12" s="48"/>
      <c r="O12" s="18"/>
      <c r="P12" s="3">
        <f t="shared" si="0"/>
        <v>23.5</v>
      </c>
    </row>
    <row r="13" spans="1:16" ht="43.15">
      <c r="A13" s="163" t="s">
        <v>214</v>
      </c>
      <c r="B13" s="38"/>
      <c r="C13" s="48"/>
      <c r="D13" s="164" t="s">
        <v>1789</v>
      </c>
      <c r="E13" s="48">
        <v>4</v>
      </c>
      <c r="F13" s="48"/>
      <c r="G13" s="48"/>
      <c r="H13" s="48" t="s">
        <v>1790</v>
      </c>
      <c r="I13" s="48">
        <v>7.5</v>
      </c>
      <c r="J13" s="48" t="s">
        <v>1791</v>
      </c>
      <c r="K13" s="48">
        <v>5</v>
      </c>
      <c r="L13" s="217" t="s">
        <v>1792</v>
      </c>
      <c r="M13" s="47">
        <v>7.5</v>
      </c>
      <c r="N13" s="48"/>
      <c r="O13" s="18"/>
      <c r="P13" s="3">
        <f t="shared" si="0"/>
        <v>24</v>
      </c>
    </row>
    <row r="14" spans="1:16" ht="28.9">
      <c r="A14" s="128" t="s">
        <v>1793</v>
      </c>
      <c r="B14" s="164" t="s">
        <v>1794</v>
      </c>
      <c r="C14" s="48">
        <v>8</v>
      </c>
      <c r="D14" s="164" t="s">
        <v>1789</v>
      </c>
      <c r="E14" s="48">
        <v>4</v>
      </c>
      <c r="F14" s="48" t="s">
        <v>1795</v>
      </c>
      <c r="G14" s="48">
        <v>5</v>
      </c>
      <c r="H14" s="136"/>
      <c r="I14" s="48"/>
      <c r="J14" s="185" t="s">
        <v>1796</v>
      </c>
      <c r="K14" s="48">
        <v>5</v>
      </c>
      <c r="L14" s="48"/>
      <c r="M14" s="48"/>
      <c r="N14" s="48"/>
      <c r="O14" s="18"/>
      <c r="P14" s="3">
        <f t="shared" si="0"/>
        <v>22</v>
      </c>
    </row>
    <row r="15" spans="1:16">
      <c r="A15" s="128" t="s">
        <v>698</v>
      </c>
      <c r="B15" s="38"/>
      <c r="C15" s="48"/>
      <c r="D15" s="38"/>
      <c r="E15" s="48"/>
      <c r="F15" s="48" t="s">
        <v>1618</v>
      </c>
      <c r="G15" s="48">
        <v>9.5</v>
      </c>
      <c r="H15" s="129" t="s">
        <v>1797</v>
      </c>
      <c r="I15" s="48">
        <v>4</v>
      </c>
      <c r="J15" s="129" t="s">
        <v>1798</v>
      </c>
      <c r="K15" s="48"/>
      <c r="L15" s="38"/>
      <c r="M15" s="48"/>
      <c r="N15" s="48"/>
      <c r="O15" s="18"/>
      <c r="P15" s="3">
        <f t="shared" si="0"/>
        <v>13.5</v>
      </c>
    </row>
    <row r="16" spans="1:16">
      <c r="A16" s="128"/>
      <c r="B16" s="48"/>
      <c r="C16" s="48"/>
      <c r="D16" s="164"/>
      <c r="E16" s="48"/>
      <c r="F16" s="48"/>
      <c r="G16" s="48"/>
      <c r="H16" s="169"/>
      <c r="I16" s="48"/>
      <c r="J16" s="48"/>
      <c r="K16" s="48"/>
      <c r="L16" s="48"/>
      <c r="M16" s="48"/>
      <c r="N16" s="48"/>
      <c r="O16" s="18"/>
      <c r="P16" s="3">
        <f t="shared" si="0"/>
        <v>0</v>
      </c>
    </row>
    <row r="17" spans="1:17">
      <c r="A17" s="45" t="s">
        <v>1799</v>
      </c>
      <c r="B17" s="165" t="s">
        <v>1800</v>
      </c>
      <c r="C17" s="48">
        <v>7</v>
      </c>
      <c r="D17" s="82"/>
      <c r="E17" s="82"/>
      <c r="F17" s="158" t="s">
        <v>1801</v>
      </c>
      <c r="G17" s="82">
        <v>5</v>
      </c>
      <c r="H17" s="180" t="s">
        <v>1802</v>
      </c>
      <c r="I17" s="82">
        <v>3</v>
      </c>
      <c r="J17" s="140"/>
      <c r="K17" s="82"/>
      <c r="L17" s="141"/>
      <c r="M17" s="45"/>
      <c r="N17" s="45"/>
      <c r="O17" s="18"/>
      <c r="P17" s="3">
        <f t="shared" si="0"/>
        <v>15</v>
      </c>
    </row>
    <row r="18" spans="1:17">
      <c r="A18" s="45" t="s">
        <v>1803</v>
      </c>
      <c r="B18" s="170"/>
      <c r="C18" s="82"/>
      <c r="D18" s="181" t="s">
        <v>1804</v>
      </c>
      <c r="E18" s="82">
        <v>4.5</v>
      </c>
      <c r="F18" s="181"/>
      <c r="G18" s="82"/>
      <c r="H18" s="143" t="s">
        <v>1805</v>
      </c>
      <c r="I18" s="82">
        <v>4.5</v>
      </c>
      <c r="J18" s="45"/>
      <c r="K18" s="48"/>
      <c r="L18" s="173"/>
      <c r="M18" s="82"/>
      <c r="N18" s="45"/>
      <c r="O18" s="18">
        <v>3</v>
      </c>
      <c r="P18" s="3">
        <f t="shared" si="0"/>
        <v>12</v>
      </c>
    </row>
    <row r="19" spans="1:17" ht="43.15">
      <c r="A19" s="45" t="s">
        <v>1806</v>
      </c>
      <c r="B19" s="172" t="s">
        <v>1807</v>
      </c>
      <c r="C19" s="18">
        <v>5</v>
      </c>
      <c r="D19" s="82" t="s">
        <v>1808</v>
      </c>
      <c r="E19" s="18">
        <v>5</v>
      </c>
      <c r="F19" s="82" t="s">
        <v>1809</v>
      </c>
      <c r="G19" s="18">
        <v>10</v>
      </c>
      <c r="H19" s="16" t="s">
        <v>1810</v>
      </c>
      <c r="I19" s="18">
        <v>3.5</v>
      </c>
      <c r="J19" s="82"/>
      <c r="K19" s="18"/>
      <c r="L19" s="173"/>
      <c r="M19" s="51"/>
      <c r="N19" s="48"/>
      <c r="O19" s="18"/>
      <c r="P19" s="3">
        <f t="shared" si="0"/>
        <v>23.5</v>
      </c>
    </row>
    <row r="20" spans="1:17">
      <c r="A20" s="45" t="s">
        <v>1479</v>
      </c>
      <c r="B20" s="16"/>
      <c r="C20" s="18"/>
      <c r="D20" s="143"/>
      <c r="E20" s="18"/>
      <c r="F20" s="144" t="s">
        <v>1811</v>
      </c>
      <c r="G20" s="18">
        <v>4</v>
      </c>
      <c r="H20" s="82" t="s">
        <v>1812</v>
      </c>
      <c r="I20" s="18">
        <v>8.5</v>
      </c>
      <c r="J20" s="82"/>
      <c r="K20" s="18"/>
      <c r="L20" s="18"/>
      <c r="M20" s="51"/>
      <c r="N20" s="48"/>
      <c r="O20" s="18"/>
      <c r="P20" s="3">
        <f t="shared" si="0"/>
        <v>12.5</v>
      </c>
    </row>
    <row r="21" spans="1:17">
      <c r="A21" s="45"/>
      <c r="B21" s="82"/>
      <c r="C21" s="18"/>
      <c r="D21" s="82"/>
      <c r="E21" s="18"/>
      <c r="F21" s="85"/>
      <c r="G21" s="18"/>
      <c r="H21" s="82"/>
      <c r="I21" s="18"/>
      <c r="J21" s="82"/>
      <c r="K21" s="18"/>
      <c r="L21" s="18"/>
      <c r="M21" s="51"/>
      <c r="N21" s="48"/>
      <c r="O21" s="18"/>
      <c r="P21" s="3">
        <f t="shared" si="0"/>
        <v>0</v>
      </c>
    </row>
    <row r="22" spans="1:17">
      <c r="A22" s="52" t="s">
        <v>95</v>
      </c>
      <c r="B22" s="3"/>
      <c r="C22" s="3">
        <f>SUM(C6:C21)</f>
        <v>50.5</v>
      </c>
      <c r="D22" s="3"/>
      <c r="E22" s="3">
        <f>SUM(E6:E21)</f>
        <v>52</v>
      </c>
      <c r="F22" s="3"/>
      <c r="G22" s="3">
        <f>SUM(G6:G21)</f>
        <v>58.5</v>
      </c>
      <c r="H22" s="3"/>
      <c r="I22" s="3">
        <f>SUM(I6:I21)</f>
        <v>60.5</v>
      </c>
      <c r="J22" s="3"/>
      <c r="K22" s="3">
        <f>SUM(K6:K21)</f>
        <v>32.5</v>
      </c>
      <c r="L22" s="3"/>
      <c r="M22" s="3">
        <f>SUM(M6:M21)</f>
        <v>28</v>
      </c>
      <c r="N22" s="3"/>
      <c r="O22" s="3">
        <f>SUM(O7:O20)</f>
        <v>10</v>
      </c>
      <c r="P22" s="3">
        <f t="shared" si="0"/>
        <v>292</v>
      </c>
      <c r="Q22">
        <f>P22*20</f>
        <v>5840</v>
      </c>
    </row>
    <row r="23" spans="1:17">
      <c r="C23">
        <f>C22*20</f>
        <v>1010</v>
      </c>
      <c r="E23">
        <f>E22*20</f>
        <v>1040</v>
      </c>
      <c r="G23">
        <f>G22*20</f>
        <v>1170</v>
      </c>
      <c r="I23">
        <f>I22*20</f>
        <v>1210</v>
      </c>
      <c r="K23">
        <f>K22*20</f>
        <v>650</v>
      </c>
      <c r="M23">
        <f>M22*20</f>
        <v>560</v>
      </c>
    </row>
    <row r="25" spans="1:17" ht="15" thickBot="1">
      <c r="A25" s="121"/>
      <c r="B25" s="117" t="s">
        <v>96</v>
      </c>
      <c r="C25" s="117"/>
      <c r="D25" s="121"/>
    </row>
    <row r="26" spans="1:17" ht="18.600000000000001" thickBot="1">
      <c r="A26" s="145" t="s">
        <v>97</v>
      </c>
      <c r="D26" s="434" t="s">
        <v>98</v>
      </c>
      <c r="E26" s="435"/>
      <c r="F26" s="435"/>
      <c r="G26" s="435"/>
      <c r="H26" s="435"/>
      <c r="I26" s="435"/>
      <c r="J26" s="436"/>
    </row>
    <row r="27" spans="1:17" ht="18">
      <c r="A27" s="146" t="s">
        <v>99</v>
      </c>
      <c r="D27" s="174" t="s">
        <v>100</v>
      </c>
      <c r="E27" s="175"/>
      <c r="F27" s="175" t="s">
        <v>101</v>
      </c>
      <c r="G27" s="175"/>
      <c r="H27" s="175" t="s">
        <v>102</v>
      </c>
      <c r="I27" s="175"/>
      <c r="J27" s="176" t="s">
        <v>103</v>
      </c>
    </row>
    <row r="28" spans="1:17" ht="18.600000000000001" thickBot="1">
      <c r="A28" s="147" t="s">
        <v>104</v>
      </c>
      <c r="D28" s="177" t="s">
        <v>105</v>
      </c>
      <c r="E28" s="178"/>
      <c r="F28" s="178" t="s">
        <v>106</v>
      </c>
      <c r="G28" s="178"/>
      <c r="H28" s="178" t="s">
        <v>107</v>
      </c>
      <c r="I28" s="178"/>
      <c r="J28" s="179" t="s">
        <v>108</v>
      </c>
    </row>
    <row r="29" spans="1:17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17" ht="18.600000000000001" thickBot="1">
      <c r="A30" s="149" t="s">
        <v>111</v>
      </c>
      <c r="D30" s="434" t="s">
        <v>112</v>
      </c>
      <c r="E30" s="435"/>
      <c r="F30" s="435"/>
      <c r="G30" s="435"/>
      <c r="H30" s="435"/>
      <c r="I30" s="435"/>
      <c r="J30" s="436"/>
    </row>
    <row r="31" spans="1:17" ht="3.75" customHeight="1">
      <c r="A31" s="150" t="s">
        <v>113</v>
      </c>
      <c r="D31" s="437" t="s">
        <v>1481</v>
      </c>
      <c r="E31" s="438"/>
      <c r="F31" s="438"/>
      <c r="G31" s="438"/>
      <c r="H31" s="438"/>
      <c r="I31" s="438"/>
      <c r="J31" s="439"/>
    </row>
    <row r="32" spans="1:17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9"/>
    </row>
    <row r="33" spans="1:10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9"/>
    </row>
    <row r="34" spans="1:10" ht="15" thickBot="1">
      <c r="D34" s="431" t="s">
        <v>119</v>
      </c>
      <c r="E34" s="432"/>
      <c r="F34" s="432"/>
      <c r="G34" s="432"/>
      <c r="H34" s="432"/>
      <c r="I34" s="432"/>
      <c r="J34" s="433"/>
    </row>
  </sheetData>
  <mergeCells count="6">
    <mergeCell ref="D34:J34"/>
    <mergeCell ref="D26:J26"/>
    <mergeCell ref="D30:J30"/>
    <mergeCell ref="D31:J31"/>
    <mergeCell ref="D32:J32"/>
    <mergeCell ref="D33:J33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B614-0FA8-4D23-A533-27EA11CEBD8B}">
  <sheetPr>
    <tabColor theme="9"/>
  </sheetPr>
  <dimension ref="A1:Q34"/>
  <sheetViews>
    <sheetView zoomScaleNormal="100" zoomScaleSheetLayoutView="100" workbookViewId="0">
      <selection activeCell="J11" sqref="J11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" bestFit="1" customWidth="1"/>
    <col min="7" max="7" width="5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45971</v>
      </c>
      <c r="C2" s="6"/>
      <c r="D2" s="5">
        <v>45972</v>
      </c>
      <c r="E2" s="6"/>
      <c r="F2" s="5">
        <v>45973</v>
      </c>
      <c r="G2" s="6"/>
      <c r="H2" s="5">
        <v>45974</v>
      </c>
      <c r="I2" s="6"/>
      <c r="J2" s="5">
        <v>45975</v>
      </c>
      <c r="K2" s="6"/>
      <c r="L2" s="5">
        <v>45976</v>
      </c>
      <c r="M2" s="6"/>
      <c r="N2" s="5">
        <v>45977</v>
      </c>
      <c r="O2" s="7"/>
      <c r="P2" s="3"/>
    </row>
    <row r="3" spans="1:16" ht="54">
      <c r="A3" s="8" t="s">
        <v>9</v>
      </c>
      <c r="B3" s="9"/>
      <c r="C3" s="10"/>
      <c r="D3" s="161" t="s">
        <v>1813</v>
      </c>
      <c r="E3" s="162"/>
      <c r="F3" s="218" t="s">
        <v>1814</v>
      </c>
      <c r="G3" s="162"/>
      <c r="H3" s="182" t="s">
        <v>1815</v>
      </c>
      <c r="I3" s="162"/>
      <c r="J3" s="183" t="s">
        <v>1816</v>
      </c>
      <c r="K3" s="10"/>
      <c r="L3" s="218" t="s">
        <v>1817</v>
      </c>
      <c r="M3" s="13"/>
      <c r="N3" s="14"/>
      <c r="O3" s="15"/>
      <c r="P3" s="3"/>
    </row>
    <row r="4" spans="1:16" ht="28.9">
      <c r="A4" s="16" t="s">
        <v>14</v>
      </c>
      <c r="B4" s="19" t="s">
        <v>1818</v>
      </c>
      <c r="C4" s="18">
        <v>9.5</v>
      </c>
      <c r="D4" s="19" t="s">
        <v>1819</v>
      </c>
      <c r="E4" s="18">
        <v>9.5</v>
      </c>
      <c r="F4" s="19" t="s">
        <v>344</v>
      </c>
      <c r="G4" s="18">
        <v>8.5</v>
      </c>
      <c r="H4" s="19" t="s">
        <v>753</v>
      </c>
      <c r="I4" s="18">
        <v>9</v>
      </c>
      <c r="J4" s="19" t="s">
        <v>578</v>
      </c>
      <c r="K4" s="18">
        <v>9.5</v>
      </c>
      <c r="L4" s="94" t="s">
        <v>17</v>
      </c>
      <c r="M4" s="18"/>
      <c r="N4" s="18" t="s">
        <v>17</v>
      </c>
      <c r="O4" s="18"/>
      <c r="P4" s="3">
        <f t="shared" ref="P4:P15" si="0">SUM(O4,M4,K4,I4,G4,E4,C4)</f>
        <v>46</v>
      </c>
    </row>
    <row r="5" spans="1:16">
      <c r="A5" s="22" t="s">
        <v>18</v>
      </c>
      <c r="B5" s="26" t="s">
        <v>344</v>
      </c>
      <c r="C5" s="24">
        <v>8.5</v>
      </c>
      <c r="D5" s="26" t="s">
        <v>344</v>
      </c>
      <c r="E5" s="24">
        <v>8.5</v>
      </c>
      <c r="F5" s="26" t="s">
        <v>344</v>
      </c>
      <c r="G5" s="24">
        <v>8.5</v>
      </c>
      <c r="H5" s="26" t="s">
        <v>16</v>
      </c>
      <c r="I5" s="24">
        <v>8</v>
      </c>
      <c r="J5" s="26" t="s">
        <v>16</v>
      </c>
      <c r="K5" s="24">
        <v>8</v>
      </c>
      <c r="L5" s="24"/>
      <c r="M5" s="95"/>
      <c r="N5" s="24"/>
      <c r="O5" s="18"/>
      <c r="P5" s="3">
        <f t="shared" si="0"/>
        <v>41.5</v>
      </c>
    </row>
    <row r="6" spans="1:16">
      <c r="A6" s="163" t="s">
        <v>1444</v>
      </c>
      <c r="B6" s="48"/>
      <c r="C6" s="48"/>
      <c r="D6" s="164" t="s">
        <v>1820</v>
      </c>
      <c r="E6" s="48">
        <v>7.5</v>
      </c>
      <c r="F6" s="165" t="s">
        <v>1821</v>
      </c>
      <c r="G6" s="48">
        <v>7.5</v>
      </c>
      <c r="H6" s="36" t="s">
        <v>1822</v>
      </c>
      <c r="I6" s="48">
        <v>3.5</v>
      </c>
      <c r="J6" s="48"/>
      <c r="K6" s="48"/>
      <c r="L6" s="48" t="s">
        <v>1823</v>
      </c>
      <c r="M6" s="48">
        <v>5.5</v>
      </c>
      <c r="N6" s="48"/>
      <c r="O6" s="18"/>
      <c r="P6" s="3">
        <f t="shared" si="0"/>
        <v>24</v>
      </c>
    </row>
    <row r="7" spans="1:16" ht="28.9">
      <c r="A7" s="163" t="s">
        <v>214</v>
      </c>
      <c r="B7" s="38"/>
      <c r="C7" s="48"/>
      <c r="D7" s="45" t="s">
        <v>1824</v>
      </c>
      <c r="E7" s="48">
        <v>5.5</v>
      </c>
      <c r="F7" s="48"/>
      <c r="G7" s="48"/>
      <c r="H7" s="48" t="s">
        <v>1825</v>
      </c>
      <c r="I7" s="48">
        <v>6</v>
      </c>
      <c r="J7" s="48"/>
      <c r="K7" s="48"/>
      <c r="L7" s="165" t="s">
        <v>1826</v>
      </c>
      <c r="M7" s="48">
        <v>9.5</v>
      </c>
      <c r="N7" s="48"/>
      <c r="O7" s="18"/>
      <c r="P7" s="3">
        <f t="shared" si="0"/>
        <v>21</v>
      </c>
    </row>
    <row r="8" spans="1:16" ht="28.9">
      <c r="A8" s="128" t="s">
        <v>1793</v>
      </c>
      <c r="B8" s="164" t="s">
        <v>1827</v>
      </c>
      <c r="C8" s="48">
        <v>7</v>
      </c>
      <c r="D8" s="45" t="s">
        <v>1828</v>
      </c>
      <c r="E8" s="48">
        <v>5</v>
      </c>
      <c r="F8" s="164" t="s">
        <v>1820</v>
      </c>
      <c r="G8" s="48">
        <v>7.5</v>
      </c>
      <c r="H8" s="136" t="s">
        <v>1829</v>
      </c>
      <c r="I8" s="47">
        <v>2.5</v>
      </c>
      <c r="J8" s="166" t="s">
        <v>1830</v>
      </c>
      <c r="K8" s="167">
        <v>6</v>
      </c>
      <c r="L8" s="167"/>
      <c r="M8" s="48"/>
      <c r="N8" s="48"/>
      <c r="O8" s="18"/>
      <c r="P8" s="3">
        <f t="shared" si="0"/>
        <v>28</v>
      </c>
    </row>
    <row r="9" spans="1:16" ht="28.9">
      <c r="A9" s="163" t="s">
        <v>694</v>
      </c>
      <c r="B9" s="56"/>
      <c r="C9" s="48"/>
      <c r="D9" s="165" t="s">
        <v>1831</v>
      </c>
      <c r="E9" s="48">
        <v>7.5</v>
      </c>
      <c r="F9" s="16" t="s">
        <v>1832</v>
      </c>
      <c r="G9" s="18">
        <v>3</v>
      </c>
      <c r="H9" s="157" t="s">
        <v>1833</v>
      </c>
      <c r="I9" s="48">
        <v>6.5</v>
      </c>
      <c r="J9" s="165" t="s">
        <v>1834</v>
      </c>
      <c r="K9" s="48">
        <v>7</v>
      </c>
      <c r="L9" s="38"/>
      <c r="M9" s="47"/>
      <c r="N9" s="48"/>
      <c r="O9" s="18"/>
      <c r="P9" s="3">
        <f t="shared" si="0"/>
        <v>24</v>
      </c>
    </row>
    <row r="10" spans="1:16" ht="28.9">
      <c r="A10" s="163" t="s">
        <v>1377</v>
      </c>
      <c r="B10" s="135" t="s">
        <v>1835</v>
      </c>
      <c r="C10" s="48">
        <v>4</v>
      </c>
      <c r="D10" s="135" t="s">
        <v>1836</v>
      </c>
      <c r="E10" s="48">
        <v>3.5</v>
      </c>
      <c r="F10" s="168" t="s">
        <v>1837</v>
      </c>
      <c r="G10" s="48">
        <v>6</v>
      </c>
      <c r="H10" s="137" t="s">
        <v>1838</v>
      </c>
      <c r="I10" s="48">
        <v>3</v>
      </c>
      <c r="J10" s="135" t="s">
        <v>1726</v>
      </c>
      <c r="K10" s="48">
        <v>6</v>
      </c>
      <c r="L10" s="48"/>
      <c r="M10" s="48"/>
      <c r="N10" s="48"/>
      <c r="O10" s="18"/>
      <c r="P10" s="3">
        <f t="shared" si="0"/>
        <v>22.5</v>
      </c>
    </row>
    <row r="11" spans="1:16" ht="86.45">
      <c r="A11" s="163" t="s">
        <v>1461</v>
      </c>
      <c r="B11" s="165" t="s">
        <v>1821</v>
      </c>
      <c r="C11" s="48">
        <v>7.5</v>
      </c>
      <c r="D11" s="133"/>
      <c r="E11" s="48"/>
      <c r="F11" s="45"/>
      <c r="G11" s="48"/>
      <c r="H11" s="158" t="s">
        <v>1839</v>
      </c>
      <c r="I11" s="48">
        <v>6.5</v>
      </c>
      <c r="J11" s="101"/>
      <c r="K11" s="48"/>
      <c r="L11" s="165" t="s">
        <v>1840</v>
      </c>
      <c r="M11" s="48">
        <v>7.5</v>
      </c>
      <c r="N11" s="48"/>
      <c r="O11" s="18"/>
      <c r="P11" s="3">
        <f t="shared" si="0"/>
        <v>21.5</v>
      </c>
    </row>
    <row r="12" spans="1:16">
      <c r="A12" s="128" t="s">
        <v>698</v>
      </c>
      <c r="B12" s="38"/>
      <c r="C12" s="48"/>
      <c r="D12" s="38"/>
      <c r="E12" s="48"/>
      <c r="F12" s="48" t="s">
        <v>1841</v>
      </c>
      <c r="G12" s="48">
        <v>9.5</v>
      </c>
      <c r="H12" s="129" t="s">
        <v>1779</v>
      </c>
      <c r="I12" s="48">
        <v>3</v>
      </c>
      <c r="J12" s="129" t="s">
        <v>1842</v>
      </c>
      <c r="K12" s="48">
        <v>3.5</v>
      </c>
      <c r="L12" s="38"/>
      <c r="M12" s="48"/>
      <c r="N12" s="48"/>
      <c r="O12" s="18"/>
      <c r="P12" s="3">
        <f t="shared" si="0"/>
        <v>16</v>
      </c>
    </row>
    <row r="13" spans="1:16">
      <c r="A13" s="163" t="s">
        <v>1468</v>
      </c>
      <c r="B13" s="168" t="s">
        <v>1843</v>
      </c>
      <c r="C13" s="48">
        <v>7.5</v>
      </c>
      <c r="D13" s="168" t="s">
        <v>1844</v>
      </c>
      <c r="E13" s="48">
        <v>7.5</v>
      </c>
      <c r="F13" s="157"/>
      <c r="G13" s="48"/>
      <c r="H13" s="130"/>
      <c r="I13" s="48"/>
      <c r="J13" s="157" t="s">
        <v>1845</v>
      </c>
      <c r="K13" s="48">
        <v>7.5</v>
      </c>
      <c r="L13" s="38"/>
      <c r="M13" s="47"/>
      <c r="N13" s="48"/>
      <c r="O13" s="18"/>
      <c r="P13" s="3">
        <f t="shared" si="0"/>
        <v>22.5</v>
      </c>
    </row>
    <row r="14" spans="1:16">
      <c r="A14" s="128" t="s">
        <v>701</v>
      </c>
      <c r="B14" s="36" t="s">
        <v>1846</v>
      </c>
      <c r="C14" s="48">
        <v>4</v>
      </c>
      <c r="D14" s="38"/>
      <c r="E14" s="48"/>
      <c r="F14" s="48"/>
      <c r="G14" s="48"/>
      <c r="H14" s="48" t="s">
        <v>1562</v>
      </c>
      <c r="I14" s="48">
        <v>5</v>
      </c>
      <c r="J14" s="48" t="s">
        <v>1847</v>
      </c>
      <c r="K14" s="48">
        <v>6</v>
      </c>
      <c r="L14" s="48"/>
      <c r="M14" s="48"/>
      <c r="N14" s="48"/>
      <c r="O14" s="18"/>
      <c r="P14" s="3">
        <f t="shared" si="0"/>
        <v>15</v>
      </c>
    </row>
    <row r="15" spans="1:16" ht="28.9">
      <c r="A15" s="128" t="s">
        <v>1739</v>
      </c>
      <c r="B15" s="48" t="s">
        <v>1848</v>
      </c>
      <c r="C15" s="48">
        <v>5.5</v>
      </c>
      <c r="D15" s="164" t="s">
        <v>1849</v>
      </c>
      <c r="E15" s="48">
        <v>9.5</v>
      </c>
      <c r="F15" s="48"/>
      <c r="G15" s="48"/>
      <c r="H15" s="137"/>
      <c r="I15" s="48"/>
      <c r="J15" s="48"/>
      <c r="K15" s="48"/>
      <c r="L15" s="129" t="s">
        <v>1850</v>
      </c>
      <c r="M15" s="48">
        <v>7</v>
      </c>
      <c r="N15" s="48"/>
      <c r="O15" s="18"/>
      <c r="P15" s="3">
        <f t="shared" si="0"/>
        <v>22</v>
      </c>
    </row>
    <row r="16" spans="1:16">
      <c r="A16" s="128"/>
      <c r="B16" s="48"/>
      <c r="C16" s="48"/>
      <c r="D16" s="164"/>
      <c r="E16" s="48"/>
      <c r="F16" s="48"/>
      <c r="G16" s="48"/>
      <c r="H16" s="169"/>
      <c r="I16" s="48"/>
      <c r="J16" s="48"/>
      <c r="K16" s="48"/>
      <c r="L16" s="48"/>
      <c r="M16" s="48"/>
      <c r="N16" s="48"/>
      <c r="O16" s="18"/>
      <c r="P16" s="3"/>
    </row>
    <row r="17" spans="1:17" ht="28.9">
      <c r="A17" s="45" t="s">
        <v>1851</v>
      </c>
      <c r="B17" s="84" t="s">
        <v>1852</v>
      </c>
      <c r="C17" s="82">
        <v>4</v>
      </c>
      <c r="D17" s="82" t="s">
        <v>1853</v>
      </c>
      <c r="E17" s="82">
        <v>5</v>
      </c>
      <c r="F17" s="138" t="s">
        <v>1854</v>
      </c>
      <c r="G17" s="82">
        <v>6</v>
      </c>
      <c r="H17" s="139"/>
      <c r="I17" s="82"/>
      <c r="J17" s="140"/>
      <c r="K17" s="82"/>
      <c r="L17" s="141"/>
      <c r="M17" s="45"/>
      <c r="N17" s="45"/>
      <c r="O17" s="18"/>
      <c r="P17" s="3">
        <f t="shared" ref="P17:P22" si="1">SUM(O17,M17,K17,I17,G17,E17,C17)</f>
        <v>15</v>
      </c>
    </row>
    <row r="18" spans="1:17" ht="28.9">
      <c r="A18" s="45" t="s">
        <v>1855</v>
      </c>
      <c r="B18" s="170" t="s">
        <v>1856</v>
      </c>
      <c r="C18" s="82">
        <v>5</v>
      </c>
      <c r="D18" s="171" t="s">
        <v>1857</v>
      </c>
      <c r="E18" s="82">
        <v>5</v>
      </c>
      <c r="F18" s="171" t="s">
        <v>1858</v>
      </c>
      <c r="G18" s="82">
        <v>5</v>
      </c>
      <c r="H18" s="143"/>
      <c r="I18" s="82"/>
      <c r="J18" s="48"/>
      <c r="K18" s="48"/>
      <c r="L18" s="84"/>
      <c r="M18" s="82"/>
      <c r="N18" s="45"/>
      <c r="O18" s="18"/>
      <c r="P18" s="3">
        <f t="shared" si="1"/>
        <v>15</v>
      </c>
    </row>
    <row r="19" spans="1:17" ht="28.9">
      <c r="A19" s="45" t="s">
        <v>1859</v>
      </c>
      <c r="B19" s="172" t="s">
        <v>1860</v>
      </c>
      <c r="C19" s="18">
        <v>5.5</v>
      </c>
      <c r="D19" s="82" t="s">
        <v>1861</v>
      </c>
      <c r="E19" s="18">
        <v>6.5</v>
      </c>
      <c r="F19" s="82" t="s">
        <v>1862</v>
      </c>
      <c r="G19" s="18">
        <v>6</v>
      </c>
      <c r="H19" s="16" t="s">
        <v>1863</v>
      </c>
      <c r="I19" s="18">
        <v>3</v>
      </c>
      <c r="J19" s="82"/>
      <c r="K19" s="18"/>
      <c r="L19" s="173"/>
      <c r="M19" s="51"/>
      <c r="N19" s="48"/>
      <c r="O19" s="18"/>
      <c r="P19" s="3">
        <f t="shared" si="1"/>
        <v>21</v>
      </c>
    </row>
    <row r="20" spans="1:17">
      <c r="A20" s="45" t="s">
        <v>1479</v>
      </c>
      <c r="B20" s="16" t="s">
        <v>1864</v>
      </c>
      <c r="C20" s="18">
        <v>3.5</v>
      </c>
      <c r="D20" s="143" t="s">
        <v>1865</v>
      </c>
      <c r="E20" s="18">
        <v>3</v>
      </c>
      <c r="F20" s="144"/>
      <c r="G20" s="18"/>
      <c r="H20" s="82"/>
      <c r="I20" s="18"/>
      <c r="J20" s="82" t="s">
        <v>1866</v>
      </c>
      <c r="K20" s="18">
        <v>4</v>
      </c>
      <c r="L20" s="18"/>
      <c r="M20" s="51"/>
      <c r="N20" s="48"/>
      <c r="O20" s="18"/>
      <c r="P20" s="3">
        <f t="shared" si="1"/>
        <v>10.5</v>
      </c>
    </row>
    <row r="21" spans="1:17">
      <c r="A21" s="45"/>
      <c r="B21" s="82"/>
      <c r="C21" s="18"/>
      <c r="D21" s="82"/>
      <c r="E21" s="18"/>
      <c r="F21" s="85"/>
      <c r="G21" s="18"/>
      <c r="H21" s="82"/>
      <c r="I21" s="18"/>
      <c r="J21" s="82"/>
      <c r="K21" s="18"/>
      <c r="L21" s="18"/>
      <c r="M21" s="51"/>
      <c r="N21" s="48"/>
      <c r="O21" s="18"/>
      <c r="P21" s="3">
        <f t="shared" si="1"/>
        <v>0</v>
      </c>
    </row>
    <row r="22" spans="1:17">
      <c r="A22" s="52" t="s">
        <v>95</v>
      </c>
      <c r="B22" s="3"/>
      <c r="C22" s="3">
        <f>SUM(C6:C21)</f>
        <v>53.5</v>
      </c>
      <c r="D22" s="3"/>
      <c r="E22" s="3">
        <f>SUM(E6:E21)</f>
        <v>65.5</v>
      </c>
      <c r="F22" s="3"/>
      <c r="G22" s="3">
        <f>SUM(G6:G21)</f>
        <v>50.5</v>
      </c>
      <c r="H22" s="3"/>
      <c r="I22" s="3">
        <f>SUM(I6:I21)</f>
        <v>39</v>
      </c>
      <c r="J22" s="3"/>
      <c r="K22" s="3">
        <f>SUM(K6:K21)</f>
        <v>40</v>
      </c>
      <c r="L22" s="3"/>
      <c r="M22" s="3">
        <f>SUM(M6:M21)</f>
        <v>29.5</v>
      </c>
      <c r="N22" s="3"/>
      <c r="O22" s="3">
        <f>SUM(O9:O20)</f>
        <v>0</v>
      </c>
      <c r="P22" s="3">
        <f t="shared" si="1"/>
        <v>278</v>
      </c>
      <c r="Q22">
        <f>P22*20</f>
        <v>5560</v>
      </c>
    </row>
    <row r="23" spans="1:17">
      <c r="C23">
        <f>C22*20</f>
        <v>1070</v>
      </c>
      <c r="E23">
        <f>E22*20</f>
        <v>1310</v>
      </c>
      <c r="G23">
        <f>G22*20</f>
        <v>1010</v>
      </c>
      <c r="I23">
        <f>I22*20</f>
        <v>780</v>
      </c>
      <c r="K23">
        <f>K22*20</f>
        <v>800</v>
      </c>
      <c r="M23">
        <f>M22*20</f>
        <v>590</v>
      </c>
    </row>
    <row r="25" spans="1:17" ht="15" thickBot="1">
      <c r="A25" s="121"/>
      <c r="B25" s="117" t="s">
        <v>96</v>
      </c>
      <c r="C25" s="117"/>
      <c r="D25" s="121"/>
    </row>
    <row r="26" spans="1:17" ht="18.600000000000001" thickBot="1">
      <c r="A26" s="145" t="s">
        <v>97</v>
      </c>
      <c r="D26" s="446" t="s">
        <v>98</v>
      </c>
      <c r="E26" s="447"/>
      <c r="F26" s="447"/>
      <c r="G26" s="447"/>
      <c r="H26" s="447"/>
      <c r="I26" s="447"/>
      <c r="J26" s="447"/>
      <c r="K26" s="448"/>
    </row>
    <row r="27" spans="1:17" ht="18">
      <c r="A27" s="146" t="s">
        <v>99</v>
      </c>
      <c r="D27" s="437" t="s">
        <v>100</v>
      </c>
      <c r="E27" s="438"/>
      <c r="F27" s="438" t="s">
        <v>101</v>
      </c>
      <c r="G27" s="438"/>
      <c r="H27" s="438" t="s">
        <v>102</v>
      </c>
      <c r="I27" s="438"/>
      <c r="J27" s="438" t="s">
        <v>103</v>
      </c>
      <c r="K27" s="439"/>
    </row>
    <row r="28" spans="1:17" ht="18.600000000000001" thickBot="1">
      <c r="A28" s="147" t="s">
        <v>104</v>
      </c>
      <c r="D28" s="431" t="s">
        <v>105</v>
      </c>
      <c r="E28" s="432"/>
      <c r="F28" s="432" t="s">
        <v>106</v>
      </c>
      <c r="G28" s="432"/>
      <c r="H28" s="432" t="s">
        <v>107</v>
      </c>
      <c r="I28" s="432"/>
      <c r="J28" s="432" t="s">
        <v>108</v>
      </c>
      <c r="K28" s="433"/>
    </row>
    <row r="29" spans="1:17" ht="18.600000000000001" thickBot="1">
      <c r="A29" s="148" t="s">
        <v>109</v>
      </c>
      <c r="D29" s="175" t="s">
        <v>110</v>
      </c>
      <c r="E29" s="175"/>
      <c r="F29" s="175"/>
      <c r="G29" s="175"/>
      <c r="H29" s="175"/>
      <c r="I29" s="175"/>
      <c r="J29" s="175"/>
    </row>
    <row r="30" spans="1:17" ht="18.600000000000001" thickBot="1">
      <c r="A30" s="149" t="s">
        <v>111</v>
      </c>
      <c r="D30" s="446" t="s">
        <v>112</v>
      </c>
      <c r="E30" s="447"/>
      <c r="F30" s="447"/>
      <c r="G30" s="447"/>
      <c r="H30" s="447"/>
      <c r="I30" s="447"/>
      <c r="J30" s="447"/>
      <c r="K30" s="448"/>
    </row>
    <row r="31" spans="1:17" ht="3.75" customHeight="1">
      <c r="A31" s="150" t="s">
        <v>113</v>
      </c>
      <c r="D31" s="437" t="s">
        <v>1481</v>
      </c>
      <c r="E31" s="438"/>
      <c r="F31" s="438"/>
      <c r="G31" s="438"/>
      <c r="H31" s="438"/>
      <c r="I31" s="438"/>
      <c r="J31" s="438"/>
      <c r="K31" s="439"/>
    </row>
    <row r="32" spans="1:17" ht="18">
      <c r="A32" s="151" t="s">
        <v>115</v>
      </c>
      <c r="D32" s="437" t="s">
        <v>116</v>
      </c>
      <c r="E32" s="438"/>
      <c r="F32" s="438"/>
      <c r="G32" s="438"/>
      <c r="H32" s="438"/>
      <c r="I32" s="438"/>
      <c r="J32" s="438"/>
      <c r="K32" s="439"/>
    </row>
    <row r="33" spans="1:11" ht="18">
      <c r="A33" s="152" t="s">
        <v>117</v>
      </c>
      <c r="D33" s="437" t="s">
        <v>118</v>
      </c>
      <c r="E33" s="438"/>
      <c r="F33" s="438"/>
      <c r="G33" s="438"/>
      <c r="H33" s="438"/>
      <c r="I33" s="438"/>
      <c r="J33" s="438"/>
      <c r="K33" s="439"/>
    </row>
    <row r="34" spans="1:11" ht="15" thickBot="1">
      <c r="D34" s="431" t="s">
        <v>119</v>
      </c>
      <c r="E34" s="432"/>
      <c r="F34" s="432"/>
      <c r="G34" s="432"/>
      <c r="H34" s="432"/>
      <c r="I34" s="432"/>
      <c r="J34" s="432"/>
      <c r="K34" s="433"/>
    </row>
  </sheetData>
  <mergeCells count="14">
    <mergeCell ref="D26:K26"/>
    <mergeCell ref="D30:K30"/>
    <mergeCell ref="D27:E27"/>
    <mergeCell ref="D28:E28"/>
    <mergeCell ref="F27:G27"/>
    <mergeCell ref="F28:G28"/>
    <mergeCell ref="D31:K31"/>
    <mergeCell ref="D32:K32"/>
    <mergeCell ref="D33:K33"/>
    <mergeCell ref="D34:K34"/>
    <mergeCell ref="H27:I27"/>
    <mergeCell ref="H28:I28"/>
    <mergeCell ref="J27:K27"/>
    <mergeCell ref="J28:K28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BCF0-8A56-4A4B-B34A-247004F3D393}">
  <sheetPr>
    <tabColor theme="9"/>
  </sheetPr>
  <dimension ref="A1:Q31"/>
  <sheetViews>
    <sheetView zoomScale="70" zoomScaleNormal="70" workbookViewId="0">
      <selection activeCell="R14" sqref="R14"/>
    </sheetView>
  </sheetViews>
  <sheetFormatPr defaultRowHeight="14.45"/>
  <cols>
    <col min="1" max="1" width="26.28515625" customWidth="1"/>
    <col min="2" max="2" width="17.42578125" customWidth="1"/>
    <col min="3" max="3" width="4.5703125" bestFit="1" customWidth="1"/>
    <col min="4" max="4" width="23.140625" customWidth="1"/>
    <col min="5" max="5" width="5.5703125" bestFit="1" customWidth="1"/>
    <col min="6" max="6" width="20" bestFit="1" customWidth="1"/>
    <col min="7" max="7" width="4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45964</v>
      </c>
      <c r="C2" s="6"/>
      <c r="D2" s="5">
        <v>45965</v>
      </c>
      <c r="E2" s="6"/>
      <c r="F2" s="5">
        <v>45966</v>
      </c>
      <c r="G2" s="6"/>
      <c r="H2" s="5">
        <v>45967</v>
      </c>
      <c r="I2" s="6"/>
      <c r="J2" s="5">
        <v>45968</v>
      </c>
      <c r="K2" s="6"/>
      <c r="L2" s="5">
        <v>45969</v>
      </c>
      <c r="M2" s="6"/>
      <c r="N2" s="5">
        <v>45970</v>
      </c>
      <c r="O2" s="7"/>
      <c r="P2" s="3"/>
    </row>
    <row r="3" spans="1:16" ht="111" customHeight="1">
      <c r="A3" s="8" t="s">
        <v>9</v>
      </c>
      <c r="B3" s="9"/>
      <c r="C3" s="10"/>
      <c r="D3" s="160" t="s">
        <v>1867</v>
      </c>
      <c r="E3" s="10"/>
      <c r="F3" s="219" t="s">
        <v>1868</v>
      </c>
      <c r="G3" s="11"/>
      <c r="H3" s="92" t="s">
        <v>1869</v>
      </c>
      <c r="I3" s="10"/>
      <c r="J3" s="12"/>
      <c r="K3" s="10"/>
      <c r="L3" s="93"/>
      <c r="M3" s="13"/>
      <c r="N3" s="14"/>
      <c r="O3" s="15"/>
      <c r="P3" s="3"/>
    </row>
    <row r="4" spans="1:16">
      <c r="A4" s="16" t="s">
        <v>14</v>
      </c>
      <c r="B4" s="19" t="s">
        <v>1870</v>
      </c>
      <c r="C4" s="18">
        <v>10</v>
      </c>
      <c r="D4" s="19" t="s">
        <v>15</v>
      </c>
      <c r="E4" s="18">
        <v>5</v>
      </c>
      <c r="F4" s="19" t="s">
        <v>1871</v>
      </c>
      <c r="G4" s="18">
        <v>8.5</v>
      </c>
      <c r="H4" s="19" t="s">
        <v>1059</v>
      </c>
      <c r="I4" s="18">
        <v>9.5</v>
      </c>
      <c r="J4" s="19" t="s">
        <v>1872</v>
      </c>
      <c r="K4" s="18">
        <v>8</v>
      </c>
      <c r="L4" s="94" t="s">
        <v>1360</v>
      </c>
      <c r="M4" s="18"/>
      <c r="N4" s="18"/>
      <c r="O4" s="18"/>
      <c r="P4" s="3">
        <f t="shared" ref="P4:P20" si="0">SUM(O4,M4,K4,I4,G4,E4,C4)</f>
        <v>41</v>
      </c>
    </row>
    <row r="5" spans="1:16">
      <c r="A5" s="22" t="s">
        <v>18</v>
      </c>
      <c r="B5" s="26" t="s">
        <v>460</v>
      </c>
      <c r="C5" s="48">
        <v>9</v>
      </c>
      <c r="D5" s="26" t="s">
        <v>16</v>
      </c>
      <c r="E5" s="48">
        <v>8</v>
      </c>
      <c r="F5" s="26" t="s">
        <v>15</v>
      </c>
      <c r="G5" s="48">
        <v>8</v>
      </c>
      <c r="H5" s="26" t="s">
        <v>15</v>
      </c>
      <c r="I5" s="48">
        <v>8</v>
      </c>
      <c r="J5" s="26" t="s">
        <v>345</v>
      </c>
      <c r="K5" s="48">
        <v>7</v>
      </c>
      <c r="L5" s="24"/>
      <c r="M5" s="51"/>
      <c r="N5" s="24"/>
      <c r="O5" s="18"/>
      <c r="P5" s="3">
        <f t="shared" si="0"/>
        <v>40</v>
      </c>
    </row>
    <row r="6" spans="1:16" ht="28.9">
      <c r="A6" s="127" t="s">
        <v>1873</v>
      </c>
      <c r="B6" s="48" t="s">
        <v>26</v>
      </c>
      <c r="C6" s="48"/>
      <c r="D6" s="44" t="s">
        <v>1874</v>
      </c>
      <c r="E6" s="48">
        <v>4</v>
      </c>
      <c r="F6" s="44" t="s">
        <v>1875</v>
      </c>
      <c r="G6" s="48">
        <v>1</v>
      </c>
      <c r="H6" s="44" t="s">
        <v>1876</v>
      </c>
      <c r="I6" s="48">
        <v>0</v>
      </c>
      <c r="J6" s="44" t="s">
        <v>1876</v>
      </c>
      <c r="K6" s="48">
        <v>0</v>
      </c>
      <c r="L6" s="48" t="s">
        <v>26</v>
      </c>
      <c r="M6" s="48"/>
      <c r="N6" s="48" t="s">
        <v>17</v>
      </c>
      <c r="O6" s="18"/>
      <c r="P6" s="3">
        <f t="shared" si="0"/>
        <v>5</v>
      </c>
    </row>
    <row r="7" spans="1:16">
      <c r="A7" s="128" t="s">
        <v>1793</v>
      </c>
      <c r="B7" s="48" t="s">
        <v>1877</v>
      </c>
      <c r="C7" s="48">
        <v>7</v>
      </c>
      <c r="D7" s="48" t="s">
        <v>1878</v>
      </c>
      <c r="E7" s="48">
        <v>4</v>
      </c>
      <c r="F7" s="82"/>
      <c r="G7" s="18"/>
      <c r="H7" s="143"/>
      <c r="I7" s="48"/>
      <c r="J7" s="153" t="s">
        <v>1877</v>
      </c>
      <c r="K7" s="48">
        <v>7</v>
      </c>
      <c r="L7" s="48" t="s">
        <v>1879</v>
      </c>
      <c r="M7" s="48">
        <v>4.5</v>
      </c>
      <c r="N7" s="48"/>
      <c r="O7" s="18"/>
      <c r="P7" s="3">
        <f t="shared" si="0"/>
        <v>22.5</v>
      </c>
    </row>
    <row r="8" spans="1:16">
      <c r="A8" s="127" t="s">
        <v>1444</v>
      </c>
      <c r="B8" s="56" t="s">
        <v>1880</v>
      </c>
      <c r="C8" s="48">
        <v>7.5</v>
      </c>
      <c r="D8" s="48" t="s">
        <v>1881</v>
      </c>
      <c r="E8" s="48">
        <v>5.5</v>
      </c>
      <c r="F8" s="48"/>
      <c r="G8" s="48"/>
      <c r="H8" s="76"/>
      <c r="I8" s="48"/>
      <c r="J8" s="56" t="s">
        <v>1882</v>
      </c>
      <c r="K8" s="48">
        <v>7.5</v>
      </c>
      <c r="L8" s="48" t="s">
        <v>1673</v>
      </c>
      <c r="M8" s="48">
        <v>3</v>
      </c>
      <c r="N8" s="48"/>
      <c r="O8" s="18"/>
      <c r="P8" s="3">
        <f t="shared" si="0"/>
        <v>23.5</v>
      </c>
    </row>
    <row r="9" spans="1:16" ht="28.9">
      <c r="A9" s="127" t="s">
        <v>214</v>
      </c>
      <c r="B9" s="38"/>
      <c r="C9" s="48"/>
      <c r="D9" s="48" t="s">
        <v>1878</v>
      </c>
      <c r="E9" s="48">
        <v>4</v>
      </c>
      <c r="F9" s="48" t="s">
        <v>1883</v>
      </c>
      <c r="G9" s="48">
        <v>7</v>
      </c>
      <c r="H9" s="48" t="s">
        <v>1884</v>
      </c>
      <c r="I9" s="48">
        <v>7</v>
      </c>
      <c r="J9" s="48"/>
      <c r="K9" s="48"/>
      <c r="L9" s="60" t="s">
        <v>1885</v>
      </c>
      <c r="M9" s="47">
        <v>5</v>
      </c>
      <c r="N9" s="48"/>
      <c r="O9" s="18"/>
      <c r="P9" s="3">
        <f t="shared" si="0"/>
        <v>23</v>
      </c>
    </row>
    <row r="10" spans="1:16" ht="28.9">
      <c r="A10" s="128" t="s">
        <v>698</v>
      </c>
      <c r="B10" s="38"/>
      <c r="C10" s="48"/>
      <c r="D10" s="38"/>
      <c r="E10" s="48"/>
      <c r="F10" s="48"/>
      <c r="G10" s="48"/>
      <c r="H10" s="129" t="s">
        <v>1886</v>
      </c>
      <c r="I10" s="48">
        <v>3.5</v>
      </c>
      <c r="J10" s="129" t="s">
        <v>1887</v>
      </c>
      <c r="K10" s="48">
        <v>7</v>
      </c>
      <c r="L10" s="38"/>
      <c r="M10" s="48"/>
      <c r="N10" s="48"/>
      <c r="O10" s="18"/>
      <c r="P10" s="3">
        <f t="shared" si="0"/>
        <v>10.5</v>
      </c>
    </row>
    <row r="11" spans="1:16" ht="28.9">
      <c r="A11" s="127" t="s">
        <v>1468</v>
      </c>
      <c r="B11" s="156" t="s">
        <v>1888</v>
      </c>
      <c r="C11" s="48">
        <v>7.5</v>
      </c>
      <c r="D11" s="156" t="s">
        <v>1889</v>
      </c>
      <c r="E11" s="48">
        <v>7.5</v>
      </c>
      <c r="F11" s="157" t="s">
        <v>1890</v>
      </c>
      <c r="G11" s="48">
        <v>7.5</v>
      </c>
      <c r="H11" s="130"/>
      <c r="I11" s="48"/>
      <c r="J11" s="136"/>
      <c r="K11" s="48"/>
      <c r="L11" s="159"/>
      <c r="M11" s="47"/>
      <c r="N11" s="48"/>
      <c r="O11" s="18"/>
      <c r="P11" s="3">
        <f t="shared" si="0"/>
        <v>22.5</v>
      </c>
    </row>
    <row r="12" spans="1:16">
      <c r="A12" s="127" t="s">
        <v>694</v>
      </c>
      <c r="B12" s="48" t="s">
        <v>1847</v>
      </c>
      <c r="C12" s="48">
        <v>6</v>
      </c>
      <c r="D12" s="56" t="s">
        <v>1891</v>
      </c>
      <c r="E12" s="48">
        <v>5</v>
      </c>
      <c r="F12" s="155"/>
      <c r="G12" s="48"/>
      <c r="H12" s="135"/>
      <c r="I12" s="48"/>
      <c r="J12" s="48" t="s">
        <v>1618</v>
      </c>
      <c r="K12" s="48">
        <v>9.5</v>
      </c>
      <c r="L12" s="101"/>
      <c r="M12" s="47"/>
      <c r="N12" s="48"/>
      <c r="O12" s="18"/>
      <c r="P12" s="3">
        <f t="shared" si="0"/>
        <v>20.5</v>
      </c>
    </row>
    <row r="13" spans="1:16" ht="28.9">
      <c r="A13" s="127" t="s">
        <v>1461</v>
      </c>
      <c r="B13" s="48"/>
      <c r="C13" s="48"/>
      <c r="D13" s="133" t="s">
        <v>1892</v>
      </c>
      <c r="E13" s="48">
        <v>3.5</v>
      </c>
      <c r="F13" s="60" t="s">
        <v>1893</v>
      </c>
      <c r="G13" s="48">
        <v>6.5</v>
      </c>
      <c r="H13" s="158" t="s">
        <v>1894</v>
      </c>
      <c r="I13" s="48">
        <v>6.5</v>
      </c>
      <c r="J13" s="48"/>
      <c r="K13" s="48"/>
      <c r="L13" s="101" t="s">
        <v>1895</v>
      </c>
      <c r="M13" s="47">
        <v>7.5</v>
      </c>
      <c r="N13" s="48"/>
      <c r="O13" s="18"/>
      <c r="P13" s="3">
        <f t="shared" si="0"/>
        <v>24</v>
      </c>
    </row>
    <row r="14" spans="1:16" ht="57.6">
      <c r="A14" s="127" t="s">
        <v>1377</v>
      </c>
      <c r="B14" s="135"/>
      <c r="C14" s="48"/>
      <c r="D14" s="136" t="s">
        <v>1896</v>
      </c>
      <c r="E14" s="48">
        <v>6</v>
      </c>
      <c r="F14" s="157" t="s">
        <v>1897</v>
      </c>
      <c r="G14" s="48">
        <v>5</v>
      </c>
      <c r="H14" s="156" t="s">
        <v>1898</v>
      </c>
      <c r="I14" s="48">
        <v>6</v>
      </c>
      <c r="J14" s="156" t="s">
        <v>1898</v>
      </c>
      <c r="K14" s="48">
        <v>6</v>
      </c>
      <c r="L14" s="56"/>
      <c r="M14" s="48"/>
      <c r="N14" s="48"/>
      <c r="O14" s="18"/>
      <c r="P14" s="3">
        <f t="shared" si="0"/>
        <v>23</v>
      </c>
    </row>
    <row r="15" spans="1:16">
      <c r="A15" s="128" t="s">
        <v>1739</v>
      </c>
      <c r="B15" s="48" t="s">
        <v>1672</v>
      </c>
      <c r="C15" s="48">
        <v>3.5</v>
      </c>
      <c r="D15" s="48" t="s">
        <v>1899</v>
      </c>
      <c r="E15" s="48">
        <v>9.5</v>
      </c>
      <c r="F15" s="48"/>
      <c r="G15" s="48"/>
      <c r="H15" s="137"/>
      <c r="I15" s="48"/>
      <c r="J15" s="48"/>
      <c r="K15" s="48"/>
      <c r="L15" s="129" t="s">
        <v>1672</v>
      </c>
      <c r="M15" s="48">
        <v>3.5</v>
      </c>
      <c r="N15" s="48"/>
      <c r="O15" s="18"/>
      <c r="P15" s="3">
        <f t="shared" si="0"/>
        <v>16.5</v>
      </c>
    </row>
    <row r="16" spans="1:16">
      <c r="A16" s="128" t="s">
        <v>701</v>
      </c>
      <c r="B16" s="36" t="s">
        <v>1780</v>
      </c>
      <c r="C16" s="48">
        <v>3.5</v>
      </c>
      <c r="D16" s="38"/>
      <c r="E16" s="48"/>
      <c r="F16" s="48" t="s">
        <v>1900</v>
      </c>
      <c r="G16" s="48">
        <v>9.5</v>
      </c>
      <c r="H16" s="48" t="s">
        <v>1618</v>
      </c>
      <c r="I16" s="48">
        <v>9.5</v>
      </c>
      <c r="J16" s="48"/>
      <c r="K16" s="48"/>
      <c r="L16" s="48"/>
      <c r="M16" s="48"/>
      <c r="N16" s="48"/>
      <c r="O16" s="18"/>
      <c r="P16" s="3">
        <f t="shared" si="0"/>
        <v>22.5</v>
      </c>
    </row>
    <row r="17" spans="1:17">
      <c r="A17" s="45" t="s">
        <v>1901</v>
      </c>
      <c r="B17" s="84"/>
      <c r="C17" s="82"/>
      <c r="D17" s="84" t="s">
        <v>1902</v>
      </c>
      <c r="E17" s="82">
        <v>7.5</v>
      </c>
      <c r="F17" s="138" t="s">
        <v>1903</v>
      </c>
      <c r="G17" s="82">
        <v>5</v>
      </c>
      <c r="H17" s="139" t="s">
        <v>1904</v>
      </c>
      <c r="I17" s="82">
        <v>2.5</v>
      </c>
      <c r="J17" s="140"/>
      <c r="K17" s="82"/>
      <c r="L17" s="141"/>
      <c r="M17" s="45"/>
      <c r="N17" s="45"/>
      <c r="O17" s="18"/>
      <c r="P17" s="3">
        <f t="shared" si="0"/>
        <v>15</v>
      </c>
    </row>
    <row r="18" spans="1:17">
      <c r="A18" s="45" t="s">
        <v>1905</v>
      </c>
      <c r="B18" s="84" t="s">
        <v>1902</v>
      </c>
      <c r="C18" s="82">
        <v>7.5</v>
      </c>
      <c r="D18" s="138"/>
      <c r="E18" s="82"/>
      <c r="F18" s="142"/>
      <c r="G18" s="82"/>
      <c r="H18" s="143"/>
      <c r="I18" s="82"/>
      <c r="J18" s="48" t="s">
        <v>1906</v>
      </c>
      <c r="K18" s="48">
        <v>7.5</v>
      </c>
      <c r="L18" s="84"/>
      <c r="M18" s="82"/>
      <c r="N18" s="45"/>
      <c r="O18" s="18"/>
      <c r="P18" s="3">
        <f t="shared" si="0"/>
        <v>15</v>
      </c>
    </row>
    <row r="19" spans="1:17" ht="28.9">
      <c r="A19" s="45" t="s">
        <v>1479</v>
      </c>
      <c r="B19" s="16" t="s">
        <v>1864</v>
      </c>
      <c r="C19" s="18">
        <v>3.5</v>
      </c>
      <c r="D19" s="143" t="s">
        <v>1907</v>
      </c>
      <c r="E19" s="18">
        <v>2</v>
      </c>
      <c r="F19" s="135"/>
      <c r="G19" s="18"/>
      <c r="H19" s="82" t="s">
        <v>1908</v>
      </c>
      <c r="I19" s="18">
        <v>4</v>
      </c>
      <c r="J19" s="82"/>
      <c r="K19" s="18"/>
      <c r="L19" s="18"/>
      <c r="M19" s="51"/>
      <c r="N19" s="48"/>
      <c r="O19" s="18"/>
      <c r="P19" s="3">
        <f t="shared" si="0"/>
        <v>9.5</v>
      </c>
    </row>
    <row r="20" spans="1:17">
      <c r="A20" s="52" t="s">
        <v>95</v>
      </c>
      <c r="B20" s="3"/>
      <c r="C20" s="3">
        <f>SUM(C7:C19)</f>
        <v>46</v>
      </c>
      <c r="D20" s="3"/>
      <c r="E20" s="3">
        <f>SUM(E7:E19)</f>
        <v>54.5</v>
      </c>
      <c r="F20" s="3"/>
      <c r="G20" s="3">
        <f>SUM(G7:G19)</f>
        <v>40.5</v>
      </c>
      <c r="H20" s="3"/>
      <c r="I20" s="3">
        <f>SUM(I7:I19)</f>
        <v>39</v>
      </c>
      <c r="J20" s="3"/>
      <c r="K20" s="3">
        <f>SUM(K7:K19)</f>
        <v>44.5</v>
      </c>
      <c r="L20" s="3"/>
      <c r="M20" s="3">
        <f>SUM(M7:M19)</f>
        <v>23.5</v>
      </c>
      <c r="N20" s="3"/>
      <c r="O20" s="3">
        <f>SUM(O8:O19)</f>
        <v>0</v>
      </c>
      <c r="P20" s="3">
        <f t="shared" si="0"/>
        <v>248</v>
      </c>
      <c r="Q20">
        <f>P20*20</f>
        <v>4960</v>
      </c>
    </row>
    <row r="21" spans="1:17">
      <c r="C21">
        <f>C20*20</f>
        <v>920</v>
      </c>
      <c r="E21">
        <f>E20*20</f>
        <v>1090</v>
      </c>
      <c r="G21">
        <f>G20*20</f>
        <v>810</v>
      </c>
      <c r="I21">
        <f>I20*20</f>
        <v>780</v>
      </c>
      <c r="K21">
        <f>K20*20</f>
        <v>890</v>
      </c>
      <c r="M21">
        <f>M20*20</f>
        <v>470</v>
      </c>
    </row>
    <row r="23" spans="1:17">
      <c r="A23" s="121"/>
      <c r="B23" s="117" t="s">
        <v>96</v>
      </c>
      <c r="C23" s="117"/>
      <c r="D23" s="121"/>
    </row>
    <row r="24" spans="1:17" ht="18">
      <c r="A24" s="145" t="s">
        <v>97</v>
      </c>
    </row>
    <row r="25" spans="1:17" ht="18">
      <c r="A25" s="146" t="s">
        <v>99</v>
      </c>
    </row>
    <row r="26" spans="1:17" ht="18">
      <c r="A26" s="147" t="s">
        <v>104</v>
      </c>
    </row>
    <row r="27" spans="1:17" ht="18">
      <c r="A27" s="148" t="s">
        <v>109</v>
      </c>
      <c r="D27" t="s">
        <v>110</v>
      </c>
    </row>
    <row r="28" spans="1:17" ht="18">
      <c r="A28" s="149" t="s">
        <v>111</v>
      </c>
    </row>
    <row r="29" spans="1:17" ht="18">
      <c r="A29" s="150" t="s">
        <v>113</v>
      </c>
    </row>
    <row r="30" spans="1:17" ht="18">
      <c r="A30" s="151" t="s">
        <v>115</v>
      </c>
    </row>
    <row r="31" spans="1:17" ht="18">
      <c r="A31" s="152" t="s">
        <v>117</v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9A49-9FCC-4DBE-A1E0-8584DA5A6B7C}">
  <sheetPr>
    <tabColor theme="9"/>
  </sheetPr>
  <dimension ref="A1:Q31"/>
  <sheetViews>
    <sheetView zoomScale="70" zoomScaleNormal="70" workbookViewId="0">
      <selection activeCell="J3" sqref="J3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" bestFit="1" customWidth="1"/>
    <col min="7" max="7" width="4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  <col min="18" max="18" width="26.28515625" bestFit="1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45957</v>
      </c>
      <c r="C2" s="6"/>
      <c r="D2" s="5">
        <v>45958</v>
      </c>
      <c r="E2" s="6"/>
      <c r="F2" s="5">
        <v>45959</v>
      </c>
      <c r="G2" s="6"/>
      <c r="H2" s="5">
        <v>45960</v>
      </c>
      <c r="I2" s="6"/>
      <c r="J2" s="5">
        <v>45961</v>
      </c>
      <c r="K2" s="6"/>
      <c r="L2" s="5">
        <v>45962</v>
      </c>
      <c r="M2" s="6"/>
      <c r="N2" s="5">
        <v>45963</v>
      </c>
      <c r="O2" s="7"/>
      <c r="P2" s="3"/>
    </row>
    <row r="3" spans="1:16" ht="90.6" customHeight="1">
      <c r="A3" s="8" t="s">
        <v>9</v>
      </c>
      <c r="B3" s="126" t="s">
        <v>946</v>
      </c>
      <c r="C3" s="10"/>
      <c r="D3" s="126" t="s">
        <v>1909</v>
      </c>
      <c r="E3" s="10"/>
      <c r="F3" s="9" t="s">
        <v>1910</v>
      </c>
      <c r="G3" s="11"/>
      <c r="H3" s="154" t="s">
        <v>1911</v>
      </c>
      <c r="I3" s="10"/>
      <c r="J3" s="9" t="s">
        <v>1912</v>
      </c>
      <c r="K3" s="10"/>
      <c r="L3" s="9"/>
      <c r="M3" s="13"/>
      <c r="N3" s="14"/>
      <c r="O3" s="15"/>
      <c r="P3" s="3"/>
    </row>
    <row r="4" spans="1:16">
      <c r="A4" s="16" t="s">
        <v>14</v>
      </c>
      <c r="B4" s="19" t="s">
        <v>344</v>
      </c>
      <c r="C4" s="18">
        <v>8.5</v>
      </c>
      <c r="D4" s="19" t="s">
        <v>1913</v>
      </c>
      <c r="E4" s="18">
        <v>8</v>
      </c>
      <c r="F4" s="19" t="s">
        <v>16</v>
      </c>
      <c r="G4" s="18">
        <v>8</v>
      </c>
      <c r="H4" s="19" t="s">
        <v>16</v>
      </c>
      <c r="I4" s="18">
        <v>8</v>
      </c>
      <c r="J4" s="19" t="s">
        <v>16</v>
      </c>
      <c r="K4" s="18">
        <v>8</v>
      </c>
      <c r="L4" s="94" t="s">
        <v>17</v>
      </c>
      <c r="M4" s="18"/>
      <c r="N4" s="18" t="s">
        <v>17</v>
      </c>
      <c r="O4" s="18"/>
      <c r="P4" s="3">
        <f t="shared" ref="P4:P20" si="0">SUM(O4,M4,K4,I4,G4,E4,C4)</f>
        <v>40.5</v>
      </c>
    </row>
    <row r="5" spans="1:16">
      <c r="A5" s="22" t="s">
        <v>18</v>
      </c>
      <c r="B5" s="26" t="s">
        <v>15</v>
      </c>
      <c r="C5" s="24">
        <v>8</v>
      </c>
      <c r="D5" s="26" t="s">
        <v>1914</v>
      </c>
      <c r="E5" s="24">
        <v>8</v>
      </c>
      <c r="F5" s="26" t="s">
        <v>16</v>
      </c>
      <c r="G5" s="24">
        <v>8</v>
      </c>
      <c r="H5" s="26" t="s">
        <v>15</v>
      </c>
      <c r="I5" s="24">
        <v>8</v>
      </c>
      <c r="J5" s="26" t="s">
        <v>129</v>
      </c>
      <c r="K5" s="24">
        <v>8</v>
      </c>
      <c r="L5" s="24"/>
      <c r="M5" s="95"/>
      <c r="N5" s="48"/>
      <c r="O5" s="18"/>
      <c r="P5" s="3">
        <f t="shared" si="0"/>
        <v>40</v>
      </c>
    </row>
    <row r="6" spans="1:16" ht="28.9">
      <c r="A6" s="127" t="s">
        <v>1873</v>
      </c>
      <c r="B6" s="48" t="s">
        <v>26</v>
      </c>
      <c r="C6" s="48"/>
      <c r="D6" s="44" t="s">
        <v>1915</v>
      </c>
      <c r="E6" s="48">
        <v>2.5</v>
      </c>
      <c r="F6" s="44" t="s">
        <v>1916</v>
      </c>
      <c r="G6" s="48">
        <v>0</v>
      </c>
      <c r="H6" s="44" t="s">
        <v>1916</v>
      </c>
      <c r="I6" s="48">
        <v>0</v>
      </c>
      <c r="J6" s="44" t="s">
        <v>1917</v>
      </c>
      <c r="K6" s="48">
        <v>4</v>
      </c>
      <c r="L6" s="48" t="s">
        <v>26</v>
      </c>
      <c r="M6" s="48"/>
      <c r="N6" s="48" t="s">
        <v>17</v>
      </c>
      <c r="O6" s="18"/>
      <c r="P6" s="3">
        <f t="shared" si="0"/>
        <v>6.5</v>
      </c>
    </row>
    <row r="7" spans="1:16" ht="43.15">
      <c r="A7" s="128" t="s">
        <v>1793</v>
      </c>
      <c r="B7" s="48"/>
      <c r="C7" s="48"/>
      <c r="D7" s="48" t="s">
        <v>1918</v>
      </c>
      <c r="E7" s="48">
        <v>7.5</v>
      </c>
      <c r="F7" s="82" t="s">
        <v>1672</v>
      </c>
      <c r="G7" s="18">
        <v>3.5</v>
      </c>
      <c r="H7" s="136" t="s">
        <v>1884</v>
      </c>
      <c r="I7" s="48">
        <v>7</v>
      </c>
      <c r="J7" s="153"/>
      <c r="K7" s="48"/>
      <c r="L7" s="48" t="s">
        <v>1919</v>
      </c>
      <c r="M7" s="48">
        <v>6</v>
      </c>
      <c r="N7" s="48"/>
      <c r="O7" s="18"/>
      <c r="P7" s="3">
        <f t="shared" si="0"/>
        <v>24</v>
      </c>
    </row>
    <row r="8" spans="1:16" ht="43.15">
      <c r="A8" s="127" t="s">
        <v>1444</v>
      </c>
      <c r="B8" s="48" t="s">
        <v>1920</v>
      </c>
      <c r="C8" s="48">
        <v>6</v>
      </c>
      <c r="D8" s="48" t="s">
        <v>26</v>
      </c>
      <c r="E8" s="48"/>
      <c r="F8" s="48" t="s">
        <v>1921</v>
      </c>
      <c r="G8" s="18">
        <v>4</v>
      </c>
      <c r="H8" s="76" t="s">
        <v>26</v>
      </c>
      <c r="I8" s="48"/>
      <c r="J8" s="56" t="s">
        <v>1922</v>
      </c>
      <c r="K8" s="48">
        <v>7.5</v>
      </c>
      <c r="L8" s="82" t="s">
        <v>1677</v>
      </c>
      <c r="M8" s="18">
        <v>5</v>
      </c>
      <c r="N8" s="48"/>
      <c r="O8" s="18"/>
      <c r="P8" s="3">
        <f t="shared" si="0"/>
        <v>22.5</v>
      </c>
    </row>
    <row r="9" spans="1:16" ht="57.6">
      <c r="A9" s="127" t="s">
        <v>214</v>
      </c>
      <c r="B9" s="38"/>
      <c r="C9" s="48"/>
      <c r="D9" s="48" t="s">
        <v>1923</v>
      </c>
      <c r="E9" s="48">
        <v>8.5</v>
      </c>
      <c r="F9" s="48" t="s">
        <v>1924</v>
      </c>
      <c r="G9" s="48">
        <v>7.5</v>
      </c>
      <c r="H9" s="48" t="s">
        <v>26</v>
      </c>
      <c r="I9" s="48"/>
      <c r="J9" s="48" t="s">
        <v>1925</v>
      </c>
      <c r="K9" s="48">
        <v>7.5</v>
      </c>
      <c r="L9" s="48"/>
      <c r="M9" s="48"/>
      <c r="N9" s="48"/>
      <c r="O9" s="18"/>
      <c r="P9" s="3">
        <f t="shared" si="0"/>
        <v>23.5</v>
      </c>
    </row>
    <row r="10" spans="1:16">
      <c r="A10" s="128" t="s">
        <v>698</v>
      </c>
      <c r="B10" s="38"/>
      <c r="C10" s="48"/>
      <c r="D10" s="38"/>
      <c r="E10" s="48"/>
      <c r="F10" s="45" t="s">
        <v>1926</v>
      </c>
      <c r="G10" s="48">
        <v>9.5</v>
      </c>
      <c r="H10" s="129" t="s">
        <v>1624</v>
      </c>
      <c r="I10" s="48">
        <v>4</v>
      </c>
      <c r="J10" s="129"/>
      <c r="K10" s="48"/>
      <c r="L10" s="38"/>
      <c r="M10" s="48"/>
      <c r="N10" s="48"/>
      <c r="O10" s="18"/>
      <c r="P10" s="3">
        <f t="shared" si="0"/>
        <v>13.5</v>
      </c>
    </row>
    <row r="11" spans="1:16">
      <c r="A11" s="127" t="s">
        <v>1468</v>
      </c>
      <c r="B11" s="45"/>
      <c r="C11" s="48"/>
      <c r="D11" s="45"/>
      <c r="E11" s="48"/>
      <c r="F11" s="45" t="s">
        <v>1927</v>
      </c>
      <c r="G11" s="48">
        <v>7.5</v>
      </c>
      <c r="H11" s="130"/>
      <c r="I11" s="48"/>
      <c r="J11" s="48"/>
      <c r="K11" s="48"/>
      <c r="L11" s="101"/>
      <c r="M11" s="47"/>
      <c r="N11" s="48"/>
      <c r="O11" s="18"/>
      <c r="P11" s="3">
        <f>SUM(O11,M11,K11,I11,G11,E11,C11)</f>
        <v>7.5</v>
      </c>
    </row>
    <row r="12" spans="1:16">
      <c r="A12" s="127" t="s">
        <v>694</v>
      </c>
      <c r="B12" s="45" t="s">
        <v>1928</v>
      </c>
      <c r="C12" s="48">
        <v>8.5</v>
      </c>
      <c r="D12" s="45"/>
      <c r="E12" s="48"/>
      <c r="F12" s="131"/>
      <c r="G12" s="48"/>
      <c r="H12" s="132"/>
      <c r="I12" s="48"/>
      <c r="J12" s="48"/>
      <c r="K12" s="48"/>
      <c r="L12" s="101"/>
      <c r="M12" s="47"/>
      <c r="N12" s="48"/>
      <c r="O12" s="18"/>
      <c r="P12" s="3">
        <f t="shared" si="0"/>
        <v>8.5</v>
      </c>
    </row>
    <row r="13" spans="1:16" ht="28.9">
      <c r="A13" s="127" t="s">
        <v>1461</v>
      </c>
      <c r="B13" s="56"/>
      <c r="C13" s="48"/>
      <c r="D13" s="45" t="s">
        <v>1929</v>
      </c>
      <c r="E13" s="48">
        <v>8.5</v>
      </c>
      <c r="F13" s="133" t="s">
        <v>1930</v>
      </c>
      <c r="G13" s="48">
        <v>3.5</v>
      </c>
      <c r="H13" s="134" t="s">
        <v>1931</v>
      </c>
      <c r="I13" s="48">
        <v>6.5</v>
      </c>
      <c r="J13" s="56" t="s">
        <v>1932</v>
      </c>
      <c r="K13" s="48">
        <v>7.5</v>
      </c>
      <c r="L13" s="56" t="s">
        <v>1933</v>
      </c>
      <c r="M13" s="61">
        <v>5</v>
      </c>
      <c r="N13" s="48"/>
      <c r="O13" s="18"/>
      <c r="P13" s="3">
        <f t="shared" si="0"/>
        <v>31</v>
      </c>
    </row>
    <row r="14" spans="1:16" ht="28.9">
      <c r="A14" s="127" t="s">
        <v>1377</v>
      </c>
      <c r="B14" s="135" t="s">
        <v>1934</v>
      </c>
      <c r="C14" s="48">
        <v>5.5</v>
      </c>
      <c r="D14" s="136" t="s">
        <v>1935</v>
      </c>
      <c r="E14" s="48">
        <v>6</v>
      </c>
      <c r="F14" s="136"/>
      <c r="G14" s="48"/>
      <c r="H14" s="132" t="s">
        <v>1936</v>
      </c>
      <c r="I14" s="48">
        <v>6</v>
      </c>
      <c r="J14" s="136"/>
      <c r="K14" s="48"/>
      <c r="L14" s="101" t="s">
        <v>1937</v>
      </c>
      <c r="M14" s="47">
        <v>9.5</v>
      </c>
      <c r="N14" s="48"/>
      <c r="O14" s="18"/>
      <c r="P14" s="3">
        <f t="shared" si="0"/>
        <v>27</v>
      </c>
    </row>
    <row r="15" spans="1:16">
      <c r="A15" s="128" t="s">
        <v>1739</v>
      </c>
      <c r="B15" s="48"/>
      <c r="C15" s="48"/>
      <c r="D15" s="48"/>
      <c r="E15" s="48"/>
      <c r="F15" s="48"/>
      <c r="G15" s="48"/>
      <c r="H15" s="137" t="s">
        <v>1938</v>
      </c>
      <c r="I15" s="48">
        <v>5.5</v>
      </c>
      <c r="J15" s="48" t="s">
        <v>1939</v>
      </c>
      <c r="K15" s="48">
        <v>5</v>
      </c>
      <c r="L15" s="129"/>
      <c r="M15" s="48"/>
      <c r="N15" s="48"/>
      <c r="O15" s="18"/>
      <c r="P15" s="3">
        <f t="shared" si="0"/>
        <v>10.5</v>
      </c>
    </row>
    <row r="16" spans="1:16" ht="28.9">
      <c r="A16" s="128" t="s">
        <v>701</v>
      </c>
      <c r="B16" s="36"/>
      <c r="C16" s="48"/>
      <c r="D16" s="38"/>
      <c r="E16" s="48"/>
      <c r="F16" s="48"/>
      <c r="G16" s="48"/>
      <c r="H16" s="48" t="s">
        <v>1886</v>
      </c>
      <c r="I16" s="48">
        <v>3.5</v>
      </c>
      <c r="J16" s="48" t="s">
        <v>1940</v>
      </c>
      <c r="K16" s="48">
        <v>5.5</v>
      </c>
      <c r="L16" s="48"/>
      <c r="M16" s="48"/>
      <c r="N16" s="48"/>
      <c r="O16" s="18"/>
      <c r="P16" s="3">
        <f t="shared" si="0"/>
        <v>9</v>
      </c>
    </row>
    <row r="17" spans="1:17" ht="28.9">
      <c r="A17" s="45" t="s">
        <v>1941</v>
      </c>
      <c r="B17" s="84"/>
      <c r="C17" s="82"/>
      <c r="D17" s="82" t="s">
        <v>1942</v>
      </c>
      <c r="E17" s="82">
        <v>8.5</v>
      </c>
      <c r="F17" s="138" t="s">
        <v>1943</v>
      </c>
      <c r="G17" s="82">
        <v>6.5</v>
      </c>
      <c r="H17" s="139"/>
      <c r="I17" s="82"/>
      <c r="J17" s="140"/>
      <c r="K17" s="82"/>
      <c r="L17" s="141"/>
      <c r="M17" s="45"/>
      <c r="N17" s="45"/>
      <c r="O17" s="18"/>
      <c r="P17" s="3">
        <f t="shared" si="0"/>
        <v>15</v>
      </c>
    </row>
    <row r="18" spans="1:17">
      <c r="A18" s="45" t="s">
        <v>1944</v>
      </c>
      <c r="B18" s="84"/>
      <c r="C18" s="82"/>
      <c r="D18" s="138"/>
      <c r="E18" s="82"/>
      <c r="F18" s="142"/>
      <c r="G18" s="82"/>
      <c r="H18" s="143" t="s">
        <v>1945</v>
      </c>
      <c r="I18" s="82">
        <v>2</v>
      </c>
      <c r="J18" s="84" t="s">
        <v>1946</v>
      </c>
      <c r="K18" s="82">
        <v>7.5</v>
      </c>
      <c r="L18" s="138" t="s">
        <v>1947</v>
      </c>
      <c r="M18" s="45">
        <v>5.5</v>
      </c>
      <c r="N18" s="45"/>
      <c r="O18" s="18"/>
      <c r="P18" s="3">
        <f t="shared" si="0"/>
        <v>15</v>
      </c>
    </row>
    <row r="19" spans="1:17" ht="28.9">
      <c r="A19" s="45" t="s">
        <v>1479</v>
      </c>
      <c r="B19" s="16"/>
      <c r="C19" s="18"/>
      <c r="D19" s="143"/>
      <c r="E19" s="18"/>
      <c r="F19" s="144"/>
      <c r="G19" s="18"/>
      <c r="H19" s="82" t="s">
        <v>1948</v>
      </c>
      <c r="I19" s="18">
        <v>6.5</v>
      </c>
      <c r="J19" s="82"/>
      <c r="K19" s="18"/>
      <c r="L19" s="18"/>
      <c r="M19" s="51"/>
      <c r="N19" s="48"/>
      <c r="O19" s="18"/>
      <c r="P19" s="3">
        <f t="shared" si="0"/>
        <v>6.5</v>
      </c>
    </row>
    <row r="20" spans="1:17">
      <c r="A20" s="52" t="s">
        <v>95</v>
      </c>
      <c r="B20" s="3"/>
      <c r="C20" s="3">
        <f>SUM(C7:C19)</f>
        <v>20</v>
      </c>
      <c r="D20" s="3"/>
      <c r="E20" s="3">
        <f>SUM(E7:E19)</f>
        <v>39</v>
      </c>
      <c r="F20" s="3"/>
      <c r="G20" s="3">
        <f>SUM(G7:G19)</f>
        <v>42</v>
      </c>
      <c r="H20" s="3"/>
      <c r="I20" s="3">
        <f>SUM(I7:I19)</f>
        <v>41</v>
      </c>
      <c r="J20" s="3"/>
      <c r="K20" s="3">
        <f>SUM(K8:K19)</f>
        <v>40.5</v>
      </c>
      <c r="L20" s="3"/>
      <c r="M20" s="3">
        <f>SUM(M7:M19)</f>
        <v>31</v>
      </c>
      <c r="N20" s="3"/>
      <c r="O20" s="3">
        <f>SUM(O8:O19)</f>
        <v>0</v>
      </c>
      <c r="P20" s="3">
        <f t="shared" si="0"/>
        <v>213.5</v>
      </c>
      <c r="Q20">
        <f>P20*20</f>
        <v>4270</v>
      </c>
    </row>
    <row r="21" spans="1:17">
      <c r="C21">
        <f>C20*20</f>
        <v>400</v>
      </c>
      <c r="E21">
        <f>E20*20</f>
        <v>780</v>
      </c>
      <c r="G21">
        <f>G20*20</f>
        <v>840</v>
      </c>
      <c r="I21">
        <f>I20*20</f>
        <v>820</v>
      </c>
      <c r="K21">
        <f>K20*20</f>
        <v>810</v>
      </c>
      <c r="M21">
        <f>M20*20</f>
        <v>620</v>
      </c>
    </row>
    <row r="23" spans="1:17">
      <c r="A23" s="121"/>
      <c r="B23" s="117" t="s">
        <v>96</v>
      </c>
      <c r="C23" s="117"/>
      <c r="D23" s="121"/>
    </row>
    <row r="24" spans="1:17" ht="18">
      <c r="A24" s="145" t="s">
        <v>97</v>
      </c>
    </row>
    <row r="25" spans="1:17" ht="18">
      <c r="A25" s="146" t="s">
        <v>99</v>
      </c>
    </row>
    <row r="26" spans="1:17" ht="18">
      <c r="A26" s="147" t="s">
        <v>104</v>
      </c>
    </row>
    <row r="27" spans="1:17" ht="18">
      <c r="A27" s="148" t="s">
        <v>109</v>
      </c>
      <c r="D27" t="s">
        <v>110</v>
      </c>
    </row>
    <row r="28" spans="1:17" ht="18">
      <c r="A28" s="149" t="s">
        <v>111</v>
      </c>
    </row>
    <row r="29" spans="1:17" ht="18">
      <c r="A29" s="150" t="s">
        <v>113</v>
      </c>
    </row>
    <row r="30" spans="1:17" ht="18">
      <c r="A30" s="151" t="s">
        <v>115</v>
      </c>
    </row>
    <row r="31" spans="1:17" ht="18">
      <c r="A31" s="152" t="s">
        <v>117</v>
      </c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5063-1B24-495D-A210-80AB250EEC4D}">
  <sheetPr>
    <tabColor theme="9"/>
  </sheetPr>
  <dimension ref="A1:Q23"/>
  <sheetViews>
    <sheetView zoomScale="70" zoomScaleNormal="70" workbookViewId="0">
      <selection activeCell="D1" sqref="D1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1.140625" bestFit="1" customWidth="1"/>
    <col min="7" max="7" width="4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6.28515625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45950</v>
      </c>
      <c r="C2" s="6"/>
      <c r="D2" s="5">
        <v>45951</v>
      </c>
      <c r="E2" s="6"/>
      <c r="F2" s="5">
        <v>45952</v>
      </c>
      <c r="G2" s="6"/>
      <c r="H2" s="5">
        <v>45953</v>
      </c>
      <c r="I2" s="6"/>
      <c r="J2" s="5">
        <v>45954</v>
      </c>
      <c r="K2" s="6"/>
      <c r="L2" s="5">
        <v>45955</v>
      </c>
      <c r="M2" s="6"/>
      <c r="N2" s="5">
        <v>45956</v>
      </c>
      <c r="O2" s="7"/>
      <c r="P2" s="3"/>
    </row>
    <row r="3" spans="1:16" ht="69.599999999999994" customHeight="1">
      <c r="A3" s="8" t="s">
        <v>9</v>
      </c>
      <c r="B3" s="122" t="s">
        <v>1949</v>
      </c>
      <c r="C3" s="10"/>
      <c r="D3" s="124" t="s">
        <v>1950</v>
      </c>
      <c r="E3" s="10"/>
      <c r="F3" s="9" t="s">
        <v>1951</v>
      </c>
      <c r="G3" s="11"/>
      <c r="H3" s="9" t="s">
        <v>1952</v>
      </c>
      <c r="I3" s="10"/>
      <c r="J3" s="9" t="s">
        <v>1953</v>
      </c>
      <c r="K3" s="10"/>
      <c r="L3" s="93" t="s">
        <v>1954</v>
      </c>
      <c r="M3" s="13"/>
      <c r="N3" s="14"/>
      <c r="O3" s="15"/>
      <c r="P3" s="3"/>
    </row>
    <row r="4" spans="1:16">
      <c r="A4" s="16" t="s">
        <v>14</v>
      </c>
      <c r="B4" s="19" t="s">
        <v>16</v>
      </c>
      <c r="C4" s="18">
        <v>8</v>
      </c>
      <c r="D4" s="19" t="s">
        <v>204</v>
      </c>
      <c r="E4" s="18">
        <v>11</v>
      </c>
      <c r="F4" s="19" t="s">
        <v>16</v>
      </c>
      <c r="G4" s="18">
        <v>8</v>
      </c>
      <c r="H4" s="19" t="s">
        <v>460</v>
      </c>
      <c r="I4" s="18">
        <v>9</v>
      </c>
      <c r="J4" s="19" t="s">
        <v>1955</v>
      </c>
      <c r="K4" s="18">
        <v>5.5</v>
      </c>
      <c r="L4" s="94" t="s">
        <v>17</v>
      </c>
      <c r="M4" s="18"/>
      <c r="N4" s="18" t="s">
        <v>17</v>
      </c>
      <c r="O4" s="18"/>
      <c r="P4" s="3">
        <f t="shared" ref="P4:P20" si="0">SUM(O4,M4,K4,I4,G4,E4,C4)</f>
        <v>41.5</v>
      </c>
    </row>
    <row r="5" spans="1:16" ht="28.9">
      <c r="A5" s="22" t="s">
        <v>18</v>
      </c>
      <c r="B5" s="26" t="s">
        <v>1956</v>
      </c>
      <c r="C5" s="18">
        <v>8</v>
      </c>
      <c r="D5" s="26" t="s">
        <v>1957</v>
      </c>
      <c r="E5" s="18">
        <v>8</v>
      </c>
      <c r="F5" s="26" t="s">
        <v>1958</v>
      </c>
      <c r="G5" s="18">
        <v>8</v>
      </c>
      <c r="H5" s="125" t="s">
        <v>1959</v>
      </c>
      <c r="I5" s="18">
        <v>5</v>
      </c>
      <c r="J5" s="26" t="s">
        <v>1960</v>
      </c>
      <c r="K5" s="18">
        <v>6</v>
      </c>
      <c r="L5" s="24" t="s">
        <v>1961</v>
      </c>
      <c r="M5" s="18">
        <v>5</v>
      </c>
      <c r="N5" s="24"/>
      <c r="O5" s="18"/>
      <c r="P5" s="3">
        <f t="shared" si="0"/>
        <v>40</v>
      </c>
    </row>
    <row r="6" spans="1:16" ht="28.9">
      <c r="A6" s="27" t="s">
        <v>1873</v>
      </c>
      <c r="B6" s="30" t="s">
        <v>26</v>
      </c>
      <c r="C6" s="48"/>
      <c r="D6" s="36" t="s">
        <v>26</v>
      </c>
      <c r="E6" s="48">
        <v>4</v>
      </c>
      <c r="F6" s="36" t="s">
        <v>1962</v>
      </c>
      <c r="G6" s="48">
        <v>4</v>
      </c>
      <c r="H6" s="36" t="s">
        <v>1962</v>
      </c>
      <c r="I6" s="48">
        <v>4</v>
      </c>
      <c r="J6" s="44" t="s">
        <v>1915</v>
      </c>
      <c r="K6" s="48">
        <v>2.5</v>
      </c>
      <c r="L6" s="30" t="s">
        <v>26</v>
      </c>
      <c r="M6" s="30"/>
      <c r="N6" s="30" t="s">
        <v>17</v>
      </c>
      <c r="O6" s="18"/>
      <c r="P6" s="3">
        <f t="shared" si="0"/>
        <v>14.5</v>
      </c>
    </row>
    <row r="7" spans="1:16" ht="43.15">
      <c r="A7" s="27" t="s">
        <v>1793</v>
      </c>
      <c r="B7" s="30"/>
      <c r="C7" s="48"/>
      <c r="D7" s="30"/>
      <c r="E7" s="48"/>
      <c r="F7" s="37"/>
      <c r="G7" s="18"/>
      <c r="H7" s="30" t="s">
        <v>1963</v>
      </c>
      <c r="I7" s="48">
        <v>7.5</v>
      </c>
      <c r="J7" s="30" t="s">
        <v>1964</v>
      </c>
      <c r="K7" s="48">
        <v>7.5</v>
      </c>
      <c r="L7" s="30" t="s">
        <v>1965</v>
      </c>
      <c r="M7" s="48">
        <v>9</v>
      </c>
      <c r="N7" s="30"/>
      <c r="O7" s="18"/>
      <c r="P7" s="3">
        <f t="shared" si="0"/>
        <v>24</v>
      </c>
    </row>
    <row r="8" spans="1:16" ht="28.9">
      <c r="A8" s="27" t="s">
        <v>1444</v>
      </c>
      <c r="B8" s="30" t="s">
        <v>1938</v>
      </c>
      <c r="C8" s="48">
        <v>5.5</v>
      </c>
      <c r="D8" s="30" t="s">
        <v>1919</v>
      </c>
      <c r="E8" s="48">
        <v>6</v>
      </c>
      <c r="F8" s="38"/>
      <c r="G8" s="18"/>
      <c r="H8" s="30"/>
      <c r="I8" s="48"/>
      <c r="J8" s="30" t="s">
        <v>1966</v>
      </c>
      <c r="K8" s="48">
        <v>5</v>
      </c>
      <c r="L8" s="76" t="s">
        <v>1967</v>
      </c>
      <c r="M8" s="18">
        <v>5</v>
      </c>
      <c r="N8" s="30"/>
      <c r="O8" s="18"/>
      <c r="P8" s="3">
        <f t="shared" si="0"/>
        <v>21.5</v>
      </c>
    </row>
    <row r="9" spans="1:16">
      <c r="A9" s="27" t="s">
        <v>214</v>
      </c>
      <c r="B9" s="38"/>
      <c r="C9" s="48"/>
      <c r="D9" s="39" t="s">
        <v>1968</v>
      </c>
      <c r="E9" s="48">
        <v>4.5</v>
      </c>
      <c r="F9" s="30" t="s">
        <v>1969</v>
      </c>
      <c r="G9" s="48">
        <v>6.5</v>
      </c>
      <c r="H9" s="30" t="s">
        <v>1970</v>
      </c>
      <c r="I9" s="48">
        <v>6.5</v>
      </c>
      <c r="J9" s="30" t="s">
        <v>1970</v>
      </c>
      <c r="K9" s="48">
        <v>6.5</v>
      </c>
      <c r="L9" s="30" t="s">
        <v>26</v>
      </c>
      <c r="M9" s="48"/>
      <c r="N9" s="30"/>
      <c r="O9" s="18"/>
      <c r="P9" s="3">
        <f t="shared" si="0"/>
        <v>24</v>
      </c>
    </row>
    <row r="10" spans="1:16" ht="56.25" customHeight="1">
      <c r="A10" s="27" t="s">
        <v>698</v>
      </c>
      <c r="B10" s="38"/>
      <c r="C10" s="48"/>
      <c r="D10" s="38"/>
      <c r="E10" s="48"/>
      <c r="F10" s="33" t="s">
        <v>1971</v>
      </c>
      <c r="G10" s="48">
        <v>9.5</v>
      </c>
      <c r="H10" s="30" t="s">
        <v>1972</v>
      </c>
      <c r="I10" s="48">
        <v>5</v>
      </c>
      <c r="J10" s="33" t="s">
        <v>1852</v>
      </c>
      <c r="K10" s="48">
        <v>4</v>
      </c>
      <c r="L10" s="38"/>
      <c r="M10" s="48"/>
      <c r="N10" s="30"/>
      <c r="O10" s="18"/>
      <c r="P10" s="3">
        <f t="shared" si="0"/>
        <v>18.5</v>
      </c>
    </row>
    <row r="11" spans="1:16" ht="24.75" customHeight="1">
      <c r="A11" s="27" t="s">
        <v>1468</v>
      </c>
      <c r="B11" s="36" t="s">
        <v>1973</v>
      </c>
      <c r="C11" s="48">
        <v>7.5</v>
      </c>
      <c r="D11" s="36" t="s">
        <v>1974</v>
      </c>
      <c r="E11" s="48">
        <v>7.5</v>
      </c>
      <c r="F11" s="38"/>
      <c r="G11" s="48"/>
      <c r="H11" s="30"/>
      <c r="I11" s="48"/>
      <c r="J11" s="30"/>
      <c r="K11" s="48"/>
      <c r="L11" s="36" t="s">
        <v>1975</v>
      </c>
      <c r="M11" s="47">
        <v>7.5</v>
      </c>
      <c r="N11" s="30"/>
      <c r="O11" s="18"/>
      <c r="P11" s="3">
        <f t="shared" si="0"/>
        <v>22.5</v>
      </c>
    </row>
    <row r="12" spans="1:16" ht="28.9">
      <c r="A12" s="27" t="s">
        <v>694</v>
      </c>
      <c r="B12" s="30"/>
      <c r="C12" s="48"/>
      <c r="D12" s="76" t="s">
        <v>1976</v>
      </c>
      <c r="E12" s="48">
        <v>3.5</v>
      </c>
      <c r="F12" s="76" t="s">
        <v>1977</v>
      </c>
      <c r="G12" s="48">
        <v>7.5</v>
      </c>
      <c r="H12" s="102" t="s">
        <v>1978</v>
      </c>
      <c r="I12" s="48">
        <v>5.5</v>
      </c>
      <c r="J12" s="102" t="s">
        <v>1979</v>
      </c>
      <c r="K12" s="48">
        <v>7.5</v>
      </c>
      <c r="L12" s="30"/>
      <c r="M12" s="61"/>
      <c r="N12" s="30"/>
      <c r="O12" s="18"/>
      <c r="P12" s="3">
        <f t="shared" si="0"/>
        <v>24</v>
      </c>
    </row>
    <row r="13" spans="1:16" ht="28.9">
      <c r="A13" s="27" t="s">
        <v>1461</v>
      </c>
      <c r="B13" s="44" t="s">
        <v>1980</v>
      </c>
      <c r="C13" s="48">
        <v>6.5</v>
      </c>
      <c r="D13" s="30"/>
      <c r="E13" s="48"/>
      <c r="F13" s="36" t="s">
        <v>1981</v>
      </c>
      <c r="G13" s="48">
        <v>3</v>
      </c>
      <c r="H13" s="44" t="s">
        <v>1982</v>
      </c>
      <c r="I13" s="48">
        <v>7</v>
      </c>
      <c r="J13" s="44" t="s">
        <v>1983</v>
      </c>
      <c r="K13" s="48">
        <v>7.5</v>
      </c>
      <c r="L13" s="38"/>
      <c r="M13" s="61"/>
      <c r="N13" s="30"/>
      <c r="O13" s="18"/>
      <c r="P13" s="3">
        <f t="shared" si="0"/>
        <v>24</v>
      </c>
    </row>
    <row r="14" spans="1:16" ht="43.15">
      <c r="A14" s="27" t="s">
        <v>1377</v>
      </c>
      <c r="B14" s="30" t="s">
        <v>1984</v>
      </c>
      <c r="C14" s="48">
        <v>5</v>
      </c>
      <c r="D14" s="30"/>
      <c r="E14" s="48"/>
      <c r="F14" s="30" t="s">
        <v>1985</v>
      </c>
      <c r="G14" s="48">
        <v>5</v>
      </c>
      <c r="H14" s="96" t="s">
        <v>1545</v>
      </c>
      <c r="I14" s="48">
        <v>5.5</v>
      </c>
      <c r="J14" s="30"/>
      <c r="K14" s="48"/>
      <c r="L14" s="30" t="s">
        <v>1986</v>
      </c>
      <c r="M14" s="48">
        <v>7.5</v>
      </c>
      <c r="N14" s="30"/>
      <c r="O14" s="18"/>
      <c r="P14" s="3">
        <f t="shared" si="0"/>
        <v>23</v>
      </c>
    </row>
    <row r="15" spans="1:16" ht="28.9">
      <c r="A15" s="27" t="s">
        <v>1739</v>
      </c>
      <c r="B15" s="30" t="s">
        <v>1624</v>
      </c>
      <c r="C15" s="48">
        <v>4</v>
      </c>
      <c r="D15" s="30" t="s">
        <v>1618</v>
      </c>
      <c r="E15" s="48">
        <v>9.5</v>
      </c>
      <c r="F15" s="30"/>
      <c r="G15" s="48"/>
      <c r="H15" s="30"/>
      <c r="I15" s="48"/>
      <c r="J15" s="30"/>
      <c r="K15" s="48"/>
      <c r="L15" s="30" t="s">
        <v>1987</v>
      </c>
      <c r="M15" s="48">
        <v>7.5</v>
      </c>
      <c r="N15" s="30"/>
      <c r="O15" s="18"/>
      <c r="P15" s="3">
        <f t="shared" si="0"/>
        <v>21</v>
      </c>
    </row>
    <row r="16" spans="1:16">
      <c r="A16" s="27" t="s">
        <v>1988</v>
      </c>
      <c r="B16" s="30" t="s">
        <v>1989</v>
      </c>
      <c r="C16" s="48">
        <v>5.5</v>
      </c>
      <c r="D16" s="30"/>
      <c r="E16" s="48"/>
      <c r="F16" s="30" t="s">
        <v>1990</v>
      </c>
      <c r="G16" s="48">
        <v>5.5</v>
      </c>
      <c r="H16" s="30"/>
      <c r="I16" s="48"/>
      <c r="J16" s="30"/>
      <c r="K16" s="48"/>
      <c r="L16" s="30"/>
      <c r="M16" s="48"/>
      <c r="N16" s="30"/>
      <c r="O16" s="18"/>
      <c r="P16" s="3">
        <f t="shared" si="0"/>
        <v>11</v>
      </c>
    </row>
    <row r="17" spans="1:17">
      <c r="A17" s="45" t="s">
        <v>1991</v>
      </c>
      <c r="B17" s="82" t="s">
        <v>1992</v>
      </c>
      <c r="C17" s="82">
        <v>4</v>
      </c>
      <c r="D17" s="82"/>
      <c r="E17" s="82"/>
      <c r="F17" s="82" t="s">
        <v>1993</v>
      </c>
      <c r="G17" s="82">
        <v>5</v>
      </c>
      <c r="H17" s="82" t="s">
        <v>1994</v>
      </c>
      <c r="I17" s="82">
        <v>6</v>
      </c>
      <c r="J17" s="84"/>
      <c r="K17" s="82"/>
      <c r="L17" s="82"/>
      <c r="M17" s="45"/>
      <c r="N17" s="45"/>
      <c r="O17" s="18"/>
      <c r="P17" s="3">
        <f t="shared" si="0"/>
        <v>15</v>
      </c>
    </row>
    <row r="18" spans="1:17">
      <c r="A18" s="45" t="s">
        <v>1995</v>
      </c>
      <c r="B18" s="82"/>
      <c r="C18" s="82"/>
      <c r="D18" s="82"/>
      <c r="E18" s="82"/>
      <c r="F18" s="85" t="s">
        <v>1996</v>
      </c>
      <c r="G18" s="82">
        <v>3</v>
      </c>
      <c r="H18" s="82"/>
      <c r="I18" s="82"/>
      <c r="J18" s="84" t="s">
        <v>1997</v>
      </c>
      <c r="K18" s="82">
        <v>6</v>
      </c>
      <c r="L18" s="82" t="s">
        <v>1998</v>
      </c>
      <c r="M18" s="45">
        <v>6</v>
      </c>
      <c r="N18" s="45"/>
      <c r="O18" s="18"/>
      <c r="P18" s="3">
        <f t="shared" si="0"/>
        <v>15</v>
      </c>
    </row>
    <row r="19" spans="1:17" ht="28.9">
      <c r="A19" s="45" t="s">
        <v>1479</v>
      </c>
      <c r="B19" s="82"/>
      <c r="C19" s="18"/>
      <c r="D19" s="82" t="s">
        <v>1999</v>
      </c>
      <c r="E19" s="18">
        <v>2.5</v>
      </c>
      <c r="F19" s="85"/>
      <c r="G19" s="18" t="s">
        <v>2000</v>
      </c>
      <c r="H19" s="82"/>
      <c r="I19" s="18"/>
      <c r="J19" s="82" t="s">
        <v>2001</v>
      </c>
      <c r="K19" s="18">
        <v>5</v>
      </c>
      <c r="L19" s="18" t="s">
        <v>2002</v>
      </c>
      <c r="M19" s="51">
        <v>5</v>
      </c>
      <c r="N19" s="48"/>
      <c r="O19" s="18"/>
      <c r="P19" s="3">
        <f t="shared" si="0"/>
        <v>12.5</v>
      </c>
    </row>
    <row r="20" spans="1:17">
      <c r="A20" s="52" t="s">
        <v>95</v>
      </c>
      <c r="B20" s="3"/>
      <c r="C20" s="3">
        <f>SUM(C7:C19)</f>
        <v>38</v>
      </c>
      <c r="D20" s="3"/>
      <c r="E20" s="3">
        <f>SUM(E7:E19)</f>
        <v>33.5</v>
      </c>
      <c r="F20" s="3"/>
      <c r="G20" s="3">
        <f>SUM(G7:G19)</f>
        <v>45</v>
      </c>
      <c r="H20" s="3"/>
      <c r="I20" s="3">
        <f>SUM(I7:I19)</f>
        <v>43</v>
      </c>
      <c r="J20" s="3"/>
      <c r="K20" s="3">
        <f>SUM(K7:K19)</f>
        <v>49</v>
      </c>
      <c r="L20" s="3"/>
      <c r="M20" s="3">
        <f>SUM(M7:M19)</f>
        <v>47.5</v>
      </c>
      <c r="N20" s="3"/>
      <c r="O20" s="3">
        <f>SUM(O8:O19)</f>
        <v>0</v>
      </c>
      <c r="P20" s="3">
        <f t="shared" si="0"/>
        <v>256</v>
      </c>
      <c r="Q20">
        <f>P20*20</f>
        <v>5120</v>
      </c>
    </row>
    <row r="21" spans="1:17">
      <c r="C21">
        <f>C20*20</f>
        <v>760</v>
      </c>
      <c r="E21">
        <f>E20*20</f>
        <v>670</v>
      </c>
      <c r="G21">
        <f>G20*20</f>
        <v>900</v>
      </c>
      <c r="I21">
        <f>I20*20</f>
        <v>860</v>
      </c>
      <c r="K21">
        <f>K20*20</f>
        <v>980</v>
      </c>
      <c r="M21">
        <f>M20*20</f>
        <v>950</v>
      </c>
    </row>
    <row r="23" spans="1:17">
      <c r="A23" s="121"/>
      <c r="B23" s="117" t="s">
        <v>96</v>
      </c>
      <c r="C23" s="117"/>
      <c r="D23" s="121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ED1B-9FC1-49A1-9D77-5E73CFE3B034}">
  <sheetPr>
    <tabColor theme="9"/>
  </sheetPr>
  <dimension ref="A1:Q24"/>
  <sheetViews>
    <sheetView zoomScale="70" zoomScaleNormal="70" workbookViewId="0">
      <selection activeCell="G6" sqref="G6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2.28515625" customWidth="1"/>
    <col min="7" max="7" width="4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45943</v>
      </c>
      <c r="C2" s="6"/>
      <c r="D2" s="5">
        <v>45944</v>
      </c>
      <c r="E2" s="6"/>
      <c r="F2" s="5">
        <v>45945</v>
      </c>
      <c r="G2" s="6"/>
      <c r="H2" s="5">
        <v>45946</v>
      </c>
      <c r="I2" s="6"/>
      <c r="J2" s="5">
        <v>45947</v>
      </c>
      <c r="K2" s="6"/>
      <c r="L2" s="5">
        <v>45948</v>
      </c>
      <c r="M2" s="6"/>
      <c r="N2" s="5">
        <v>45949</v>
      </c>
      <c r="O2" s="7"/>
      <c r="P2" s="3"/>
    </row>
    <row r="3" spans="1:16" ht="95.25" customHeight="1">
      <c r="A3" s="8" t="s">
        <v>9</v>
      </c>
      <c r="B3" s="9" t="s">
        <v>2003</v>
      </c>
      <c r="C3" s="10"/>
      <c r="D3" s="118" t="s">
        <v>2004</v>
      </c>
      <c r="E3" s="10"/>
      <c r="F3" s="123" t="s">
        <v>2005</v>
      </c>
      <c r="G3" s="11"/>
      <c r="H3" s="119" t="s">
        <v>2006</v>
      </c>
      <c r="I3" s="10"/>
      <c r="J3" s="119" t="s">
        <v>2007</v>
      </c>
      <c r="K3" s="10"/>
      <c r="L3" s="93" t="s">
        <v>2008</v>
      </c>
      <c r="M3" s="13"/>
      <c r="N3" s="14"/>
      <c r="O3" s="15"/>
      <c r="P3" s="3"/>
    </row>
    <row r="4" spans="1:16">
      <c r="A4" s="16" t="s">
        <v>14</v>
      </c>
      <c r="B4" s="19" t="s">
        <v>339</v>
      </c>
      <c r="C4" s="18">
        <v>8</v>
      </c>
      <c r="D4" s="19" t="s">
        <v>16</v>
      </c>
      <c r="E4" s="18">
        <v>8</v>
      </c>
      <c r="F4" s="19" t="s">
        <v>16</v>
      </c>
      <c r="G4" s="18">
        <v>8</v>
      </c>
      <c r="H4" s="19" t="s">
        <v>16</v>
      </c>
      <c r="I4" s="18">
        <v>8</v>
      </c>
      <c r="J4" s="19" t="s">
        <v>16</v>
      </c>
      <c r="K4" s="18">
        <v>8</v>
      </c>
      <c r="L4" s="94" t="s">
        <v>17</v>
      </c>
      <c r="M4" s="18"/>
      <c r="N4" s="18" t="s">
        <v>17</v>
      </c>
      <c r="O4" s="18"/>
      <c r="P4" s="3">
        <f t="shared" ref="P4:P19" si="0">SUM(O4,M4,K4,I4,G4,E4,C4)</f>
        <v>40</v>
      </c>
    </row>
    <row r="5" spans="1:16">
      <c r="A5" s="22" t="s">
        <v>18</v>
      </c>
      <c r="B5" s="26" t="s">
        <v>339</v>
      </c>
      <c r="C5" s="48">
        <v>8</v>
      </c>
      <c r="D5" s="26" t="s">
        <v>15</v>
      </c>
      <c r="E5" s="48">
        <v>8</v>
      </c>
      <c r="F5" s="26" t="s">
        <v>15</v>
      </c>
      <c r="G5" s="48">
        <v>8</v>
      </c>
      <c r="H5" s="26" t="s">
        <v>15</v>
      </c>
      <c r="I5" s="48">
        <v>8</v>
      </c>
      <c r="J5" s="26" t="s">
        <v>2009</v>
      </c>
      <c r="K5" s="48">
        <v>8</v>
      </c>
      <c r="L5" s="24"/>
      <c r="M5" s="51"/>
      <c r="N5" s="24"/>
      <c r="O5" s="18"/>
      <c r="P5" s="3">
        <f t="shared" si="0"/>
        <v>40</v>
      </c>
    </row>
    <row r="6" spans="1:16">
      <c r="A6" s="27" t="s">
        <v>1873</v>
      </c>
      <c r="B6" s="30" t="s">
        <v>339</v>
      </c>
      <c r="C6" s="48"/>
      <c r="D6" s="36" t="s">
        <v>2010</v>
      </c>
      <c r="E6" s="48">
        <v>4</v>
      </c>
      <c r="F6" s="36" t="s">
        <v>2010</v>
      </c>
      <c r="G6" s="48">
        <v>4</v>
      </c>
      <c r="H6" s="36" t="s">
        <v>2010</v>
      </c>
      <c r="I6" s="48">
        <v>4</v>
      </c>
      <c r="J6" s="36" t="s">
        <v>2011</v>
      </c>
      <c r="K6" s="48">
        <v>4</v>
      </c>
      <c r="L6" s="30" t="s">
        <v>26</v>
      </c>
      <c r="M6" s="48"/>
      <c r="N6" s="30" t="s">
        <v>17</v>
      </c>
      <c r="O6" s="18"/>
      <c r="P6" s="3">
        <f t="shared" si="0"/>
        <v>16</v>
      </c>
    </row>
    <row r="7" spans="1:16" ht="43.15">
      <c r="A7" s="27" t="s">
        <v>1793</v>
      </c>
      <c r="B7" s="30"/>
      <c r="C7" s="48"/>
      <c r="D7" s="30" t="s">
        <v>1561</v>
      </c>
      <c r="E7" s="48">
        <v>6.5</v>
      </c>
      <c r="F7" s="37"/>
      <c r="G7" s="18"/>
      <c r="H7" s="30" t="s">
        <v>2012</v>
      </c>
      <c r="I7" s="48">
        <v>6.5</v>
      </c>
      <c r="J7" s="30" t="s">
        <v>1886</v>
      </c>
      <c r="K7" s="48">
        <v>3.5</v>
      </c>
      <c r="L7" s="30" t="s">
        <v>2013</v>
      </c>
      <c r="M7" s="48">
        <v>7.5</v>
      </c>
      <c r="N7" s="30"/>
      <c r="O7" s="18"/>
      <c r="P7" s="3">
        <f t="shared" si="0"/>
        <v>24</v>
      </c>
    </row>
    <row r="8" spans="1:16" ht="28.9">
      <c r="A8" s="27" t="s">
        <v>1444</v>
      </c>
      <c r="B8" s="30"/>
      <c r="C8" s="48"/>
      <c r="D8" s="30" t="s">
        <v>1541</v>
      </c>
      <c r="E8" s="48">
        <v>5</v>
      </c>
      <c r="F8" s="38"/>
      <c r="G8" s="18"/>
      <c r="H8" s="100" t="s">
        <v>2014</v>
      </c>
      <c r="I8" s="48">
        <v>5.5</v>
      </c>
      <c r="J8" s="120" t="s">
        <v>2015</v>
      </c>
      <c r="K8" s="56">
        <v>6</v>
      </c>
      <c r="L8" s="90" t="s">
        <v>2016</v>
      </c>
      <c r="M8" s="18">
        <v>7</v>
      </c>
      <c r="N8" s="30"/>
      <c r="O8" s="18"/>
      <c r="P8" s="3">
        <f t="shared" si="0"/>
        <v>23.5</v>
      </c>
    </row>
    <row r="9" spans="1:16" ht="28.9">
      <c r="A9" s="27" t="s">
        <v>214</v>
      </c>
      <c r="B9" s="38"/>
      <c r="C9" s="48"/>
      <c r="D9" s="44" t="s">
        <v>2017</v>
      </c>
      <c r="E9" s="48">
        <v>6</v>
      </c>
      <c r="F9" s="44" t="s">
        <v>2018</v>
      </c>
      <c r="G9" s="48">
        <v>5</v>
      </c>
      <c r="H9" s="120" t="s">
        <v>2019</v>
      </c>
      <c r="I9" s="48">
        <v>4</v>
      </c>
      <c r="J9" s="30" t="s">
        <v>2020</v>
      </c>
      <c r="K9" s="48">
        <v>9</v>
      </c>
      <c r="L9" s="30" t="s">
        <v>26</v>
      </c>
      <c r="M9" s="48"/>
      <c r="N9" s="30"/>
      <c r="O9" s="18"/>
      <c r="P9" s="3">
        <f t="shared" si="0"/>
        <v>24</v>
      </c>
    </row>
    <row r="10" spans="1:16">
      <c r="A10" s="27" t="s">
        <v>698</v>
      </c>
      <c r="B10" s="38"/>
      <c r="C10" s="48"/>
      <c r="D10" s="38"/>
      <c r="E10" s="48"/>
      <c r="F10" s="33" t="s">
        <v>1618</v>
      </c>
      <c r="G10" s="48">
        <v>9.5</v>
      </c>
      <c r="H10" s="30" t="s">
        <v>2021</v>
      </c>
      <c r="I10" s="48">
        <v>4</v>
      </c>
      <c r="J10" s="30" t="s">
        <v>2022</v>
      </c>
      <c r="K10" s="48">
        <v>3.5</v>
      </c>
      <c r="L10" s="38"/>
      <c r="M10" s="48"/>
      <c r="N10" s="30"/>
      <c r="O10" s="18"/>
      <c r="P10" s="3">
        <f>SUM(O10,M10,K10,I10,G10,E10,C10)</f>
        <v>17</v>
      </c>
    </row>
    <row r="11" spans="1:16" ht="86.45">
      <c r="A11" s="27" t="s">
        <v>1468</v>
      </c>
      <c r="B11" s="36"/>
      <c r="C11" s="48"/>
      <c r="D11" s="36" t="s">
        <v>1973</v>
      </c>
      <c r="E11" s="48">
        <v>7.5</v>
      </c>
      <c r="F11" s="38"/>
      <c r="G11" s="48"/>
      <c r="H11" s="30"/>
      <c r="I11" s="48"/>
      <c r="J11" s="30"/>
      <c r="K11" s="48"/>
      <c r="L11" s="36" t="s">
        <v>2023</v>
      </c>
      <c r="M11" s="47">
        <v>9</v>
      </c>
      <c r="N11" s="30"/>
      <c r="O11" s="18"/>
      <c r="P11" s="3">
        <f t="shared" si="0"/>
        <v>16.5</v>
      </c>
    </row>
    <row r="12" spans="1:16" ht="28.9">
      <c r="A12" s="27" t="s">
        <v>694</v>
      </c>
      <c r="B12" s="30"/>
      <c r="C12" s="48"/>
      <c r="D12" s="30" t="s">
        <v>1780</v>
      </c>
      <c r="E12" s="48">
        <v>3.5</v>
      </c>
      <c r="F12" s="76" t="s">
        <v>1977</v>
      </c>
      <c r="G12" s="48">
        <v>7.5</v>
      </c>
      <c r="H12" s="102" t="s">
        <v>2024</v>
      </c>
      <c r="I12" s="48">
        <v>4.5</v>
      </c>
      <c r="J12" s="102" t="s">
        <v>2025</v>
      </c>
      <c r="K12" s="48">
        <v>7.5</v>
      </c>
      <c r="L12" s="30"/>
      <c r="M12" s="61"/>
      <c r="N12" s="30"/>
      <c r="O12" s="18"/>
      <c r="P12" s="3">
        <f t="shared" si="0"/>
        <v>23</v>
      </c>
    </row>
    <row r="13" spans="1:16" ht="28.9">
      <c r="A13" s="27" t="s">
        <v>1461</v>
      </c>
      <c r="B13" s="44"/>
      <c r="C13" s="48"/>
      <c r="D13" s="30"/>
      <c r="E13" s="48"/>
      <c r="F13" s="36" t="s">
        <v>1981</v>
      </c>
      <c r="G13" s="48">
        <v>3</v>
      </c>
      <c r="H13" s="44" t="s">
        <v>2026</v>
      </c>
      <c r="I13" s="48">
        <v>7</v>
      </c>
      <c r="J13" s="44" t="s">
        <v>2027</v>
      </c>
      <c r="K13" s="48">
        <v>7.5</v>
      </c>
      <c r="L13" s="38"/>
      <c r="M13" s="61"/>
      <c r="N13" s="30"/>
      <c r="O13" s="18"/>
      <c r="P13" s="3">
        <f t="shared" si="0"/>
        <v>17.5</v>
      </c>
    </row>
    <row r="14" spans="1:16">
      <c r="A14" s="27" t="s">
        <v>1377</v>
      </c>
      <c r="B14" s="30"/>
      <c r="C14" s="48"/>
      <c r="D14" s="30" t="s">
        <v>1545</v>
      </c>
      <c r="E14" s="48">
        <v>5.5</v>
      </c>
      <c r="F14" s="30" t="s">
        <v>2028</v>
      </c>
      <c r="G14" s="48">
        <v>6</v>
      </c>
      <c r="H14" s="96" t="s">
        <v>2029</v>
      </c>
      <c r="I14" s="48">
        <v>5</v>
      </c>
      <c r="J14" s="120" t="s">
        <v>2015</v>
      </c>
      <c r="K14" s="56">
        <v>6</v>
      </c>
      <c r="L14" s="36"/>
      <c r="M14" s="48"/>
      <c r="N14" s="30"/>
      <c r="O14" s="18"/>
      <c r="P14" s="3">
        <f t="shared" si="0"/>
        <v>22.5</v>
      </c>
    </row>
    <row r="15" spans="1:16" ht="28.9">
      <c r="A15" s="27" t="s">
        <v>1560</v>
      </c>
      <c r="B15" s="30"/>
      <c r="C15" s="48"/>
      <c r="D15" s="39" t="s">
        <v>2030</v>
      </c>
      <c r="E15" s="48">
        <v>7.5</v>
      </c>
      <c r="F15" s="100"/>
      <c r="G15" s="48"/>
      <c r="H15" s="30"/>
      <c r="I15" s="48"/>
      <c r="J15" s="100"/>
      <c r="K15" s="48"/>
      <c r="L15" s="30" t="s">
        <v>2031</v>
      </c>
      <c r="M15" s="48">
        <v>4</v>
      </c>
      <c r="N15" s="30"/>
      <c r="O15" s="18"/>
      <c r="P15" s="3">
        <f t="shared" si="0"/>
        <v>11.5</v>
      </c>
    </row>
    <row r="16" spans="1:16" ht="28.9">
      <c r="A16" s="27" t="s">
        <v>701</v>
      </c>
      <c r="B16" s="30"/>
      <c r="C16" s="48"/>
      <c r="D16" s="30"/>
      <c r="E16" s="48"/>
      <c r="F16" s="120" t="s">
        <v>2032</v>
      </c>
      <c r="G16" s="48">
        <v>5</v>
      </c>
      <c r="H16" s="120"/>
      <c r="I16" s="48"/>
      <c r="J16" s="30"/>
      <c r="K16" s="48"/>
      <c r="L16" s="99" t="s">
        <v>2033</v>
      </c>
      <c r="M16" s="48">
        <v>7.5</v>
      </c>
      <c r="N16" s="30"/>
      <c r="O16" s="18"/>
      <c r="P16" s="3">
        <f t="shared" si="0"/>
        <v>12.5</v>
      </c>
    </row>
    <row r="17" spans="1:17">
      <c r="A17" s="45" t="s">
        <v>1479</v>
      </c>
      <c r="B17" s="84"/>
      <c r="C17" s="82"/>
      <c r="D17" s="45"/>
      <c r="E17" s="82"/>
      <c r="F17" s="85" t="s">
        <v>2034</v>
      </c>
      <c r="G17" s="82">
        <v>3</v>
      </c>
      <c r="H17" s="84" t="s">
        <v>2035</v>
      </c>
      <c r="I17" s="82">
        <v>4</v>
      </c>
      <c r="J17" s="85" t="s">
        <v>2036</v>
      </c>
      <c r="K17" s="82">
        <v>3.5</v>
      </c>
      <c r="L17" s="82"/>
      <c r="M17" s="45"/>
      <c r="N17" s="45"/>
      <c r="O17" s="18"/>
      <c r="P17" s="3">
        <f t="shared" si="0"/>
        <v>10.5</v>
      </c>
    </row>
    <row r="18" spans="1:17">
      <c r="A18" s="45" t="s">
        <v>2037</v>
      </c>
      <c r="B18" s="84"/>
      <c r="C18" s="82"/>
      <c r="D18" s="101"/>
      <c r="E18" s="48"/>
      <c r="F18" s="101" t="s">
        <v>981</v>
      </c>
      <c r="G18" s="48">
        <v>7.5</v>
      </c>
      <c r="H18" s="101" t="s">
        <v>981</v>
      </c>
      <c r="I18" s="48">
        <v>7.5</v>
      </c>
      <c r="J18" s="84"/>
      <c r="K18" s="82"/>
      <c r="L18" s="82"/>
      <c r="M18" s="45"/>
      <c r="N18" s="45"/>
      <c r="O18" s="18"/>
      <c r="P18" s="3">
        <f t="shared" si="0"/>
        <v>15</v>
      </c>
    </row>
    <row r="19" spans="1:17" ht="28.9">
      <c r="A19" s="45" t="s">
        <v>2038</v>
      </c>
      <c r="B19" s="84"/>
      <c r="C19" s="82"/>
      <c r="D19" s="82" t="s">
        <v>2039</v>
      </c>
      <c r="E19" s="82">
        <v>5.5</v>
      </c>
      <c r="F19" s="85" t="s">
        <v>2040</v>
      </c>
      <c r="G19" s="82">
        <v>3</v>
      </c>
      <c r="H19" s="85" t="s">
        <v>2040</v>
      </c>
      <c r="I19" s="82">
        <v>3</v>
      </c>
      <c r="J19" s="84"/>
      <c r="K19" s="82"/>
      <c r="L19" s="85" t="s">
        <v>2036</v>
      </c>
      <c r="M19" s="82">
        <v>3.5</v>
      </c>
      <c r="N19" s="45"/>
      <c r="O19" s="18"/>
      <c r="P19" s="3">
        <f t="shared" si="0"/>
        <v>15</v>
      </c>
    </row>
    <row r="20" spans="1:17">
      <c r="A20" s="45" t="s">
        <v>2041</v>
      </c>
      <c r="B20" s="82"/>
      <c r="C20" s="18"/>
      <c r="D20" s="82"/>
      <c r="E20" s="18"/>
      <c r="F20" s="60"/>
      <c r="G20" s="18"/>
      <c r="H20" s="82"/>
      <c r="I20" s="18"/>
      <c r="J20" s="82"/>
      <c r="K20" s="18"/>
      <c r="L20" s="18"/>
      <c r="M20" s="51"/>
      <c r="N20" s="48"/>
      <c r="O20" s="18"/>
      <c r="P20" s="3"/>
    </row>
    <row r="21" spans="1:17">
      <c r="A21" s="52" t="s">
        <v>95</v>
      </c>
      <c r="B21" s="3"/>
      <c r="C21" s="3">
        <f>SUM(C8:C20)</f>
        <v>0</v>
      </c>
      <c r="D21" s="3"/>
      <c r="E21" s="3">
        <f>SUM(E8:E20)</f>
        <v>40.5</v>
      </c>
      <c r="F21" s="3"/>
      <c r="G21" s="3">
        <f>SUM(G8:G20)</f>
        <v>49.5</v>
      </c>
      <c r="H21" s="3"/>
      <c r="I21" s="3">
        <f>SUM(I8:I20)</f>
        <v>44.5</v>
      </c>
      <c r="J21" s="3"/>
      <c r="K21" s="3">
        <f>SUM(K8:K20)</f>
        <v>43</v>
      </c>
      <c r="L21" s="3"/>
      <c r="M21" s="3">
        <f>SUM(M8:M20)</f>
        <v>31</v>
      </c>
      <c r="N21" s="3"/>
      <c r="O21" s="3">
        <f>SUM(O8:O20)</f>
        <v>0</v>
      </c>
      <c r="P21" s="53">
        <f>SUM(P8:P20)</f>
        <v>208.5</v>
      </c>
      <c r="Q21">
        <f>P21*20</f>
        <v>4170</v>
      </c>
    </row>
    <row r="22" spans="1:17">
      <c r="C22">
        <f>C21*20</f>
        <v>0</v>
      </c>
      <c r="E22">
        <f>E21*20</f>
        <v>810</v>
      </c>
      <c r="G22">
        <f>G21*20</f>
        <v>990</v>
      </c>
      <c r="I22">
        <f>I21*20</f>
        <v>890</v>
      </c>
      <c r="K22">
        <f>K21*20</f>
        <v>860</v>
      </c>
      <c r="M22">
        <f>M21*20</f>
        <v>620</v>
      </c>
    </row>
    <row r="24" spans="1:17">
      <c r="B24" s="117" t="s">
        <v>2042</v>
      </c>
      <c r="C24" s="117"/>
    </row>
  </sheetData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4F5C-04EF-40A9-B9DB-734C846C49F2}">
  <sheetPr>
    <tabColor theme="9"/>
  </sheetPr>
  <dimension ref="A1:R24"/>
  <sheetViews>
    <sheetView zoomScale="70" zoomScaleNormal="70" workbookViewId="0">
      <selection activeCell="C1" sqref="C1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.28515625" bestFit="1" customWidth="1"/>
    <col min="7" max="7" width="4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45936</v>
      </c>
      <c r="C2" s="6"/>
      <c r="D2" s="5">
        <v>45937</v>
      </c>
      <c r="E2" s="6"/>
      <c r="F2" s="5">
        <v>45938</v>
      </c>
      <c r="G2" s="6"/>
      <c r="H2" s="109">
        <v>45939</v>
      </c>
      <c r="I2" s="6"/>
      <c r="J2" s="5">
        <v>45940</v>
      </c>
      <c r="K2" s="6"/>
      <c r="L2" s="5">
        <v>45941</v>
      </c>
      <c r="M2" s="6"/>
      <c r="N2" s="5">
        <v>45942</v>
      </c>
      <c r="O2" s="7"/>
      <c r="P2" s="3"/>
    </row>
    <row r="3" spans="1:16" ht="69" customHeight="1">
      <c r="A3" s="8" t="s">
        <v>9</v>
      </c>
      <c r="B3" s="62"/>
      <c r="C3" s="10"/>
      <c r="D3" s="111" t="s">
        <v>2043</v>
      </c>
      <c r="E3" s="112"/>
      <c r="F3" s="113" t="s">
        <v>2044</v>
      </c>
      <c r="G3" s="114"/>
      <c r="H3" s="113" t="s">
        <v>2045</v>
      </c>
      <c r="I3" s="115"/>
      <c r="J3" s="116" t="s">
        <v>2046</v>
      </c>
      <c r="K3" s="112"/>
      <c r="L3" s="113" t="s">
        <v>2047</v>
      </c>
      <c r="M3" s="13"/>
      <c r="N3" s="14"/>
      <c r="O3" s="15"/>
      <c r="P3" s="3"/>
    </row>
    <row r="4" spans="1:16">
      <c r="A4" s="16" t="s">
        <v>14</v>
      </c>
      <c r="B4" s="19" t="s">
        <v>555</v>
      </c>
      <c r="C4" s="18">
        <v>8</v>
      </c>
      <c r="D4" s="19" t="s">
        <v>555</v>
      </c>
      <c r="E4" s="18">
        <v>8</v>
      </c>
      <c r="F4" s="19" t="s">
        <v>2048</v>
      </c>
      <c r="G4" s="18">
        <v>7.5</v>
      </c>
      <c r="H4" s="110" t="s">
        <v>15</v>
      </c>
      <c r="I4" s="18">
        <v>8</v>
      </c>
      <c r="J4" s="19" t="s">
        <v>576</v>
      </c>
      <c r="K4" s="18">
        <v>6.5</v>
      </c>
      <c r="L4" s="94" t="s">
        <v>17</v>
      </c>
      <c r="M4" s="18"/>
      <c r="N4" s="18" t="s">
        <v>17</v>
      </c>
      <c r="O4" s="18"/>
      <c r="P4" s="3">
        <f t="shared" ref="P4:P19" si="0">SUM(O4,M4,K4,I4,G4,E4,C4)</f>
        <v>38</v>
      </c>
    </row>
    <row r="5" spans="1:16" ht="28.9">
      <c r="A5" s="22" t="s">
        <v>18</v>
      </c>
      <c r="B5" s="26" t="s">
        <v>15</v>
      </c>
      <c r="C5" s="48">
        <v>8</v>
      </c>
      <c r="D5" s="26" t="s">
        <v>15</v>
      </c>
      <c r="E5" s="48">
        <v>8</v>
      </c>
      <c r="F5" s="26" t="s">
        <v>15</v>
      </c>
      <c r="G5" s="48">
        <v>8</v>
      </c>
      <c r="H5" s="26" t="s">
        <v>15</v>
      </c>
      <c r="I5" s="48">
        <v>8</v>
      </c>
      <c r="J5" s="26" t="s">
        <v>2049</v>
      </c>
      <c r="K5" s="48">
        <v>8</v>
      </c>
      <c r="L5" s="24"/>
      <c r="M5" s="51"/>
      <c r="N5" s="24"/>
      <c r="O5" s="18"/>
      <c r="P5" s="3">
        <f t="shared" si="0"/>
        <v>40</v>
      </c>
    </row>
    <row r="6" spans="1:16">
      <c r="A6" s="27" t="s">
        <v>1873</v>
      </c>
      <c r="B6" s="30"/>
      <c r="C6" s="48"/>
      <c r="D6" s="36" t="s">
        <v>2010</v>
      </c>
      <c r="E6" s="48">
        <v>4</v>
      </c>
      <c r="F6" s="36" t="s">
        <v>2010</v>
      </c>
      <c r="G6" s="48">
        <v>4</v>
      </c>
      <c r="H6" s="36" t="s">
        <v>2050</v>
      </c>
      <c r="I6" s="48">
        <v>3</v>
      </c>
      <c r="J6" s="36" t="s">
        <v>807</v>
      </c>
      <c r="K6" s="48">
        <v>0</v>
      </c>
      <c r="L6" s="30" t="s">
        <v>26</v>
      </c>
      <c r="M6" s="48"/>
      <c r="N6" s="30" t="s">
        <v>17</v>
      </c>
      <c r="O6" s="18"/>
      <c r="P6" s="3">
        <f t="shared" si="0"/>
        <v>11</v>
      </c>
    </row>
    <row r="7" spans="1:16" ht="43.15">
      <c r="A7" s="27" t="s">
        <v>1793</v>
      </c>
      <c r="B7" s="30" t="s">
        <v>1938</v>
      </c>
      <c r="C7" s="48">
        <v>5.5</v>
      </c>
      <c r="D7" s="30" t="s">
        <v>1847</v>
      </c>
      <c r="E7" s="48">
        <v>6</v>
      </c>
      <c r="F7" s="33"/>
      <c r="G7" s="48"/>
      <c r="H7" s="30" t="s">
        <v>2051</v>
      </c>
      <c r="I7" s="48">
        <v>6</v>
      </c>
      <c r="J7" s="30"/>
      <c r="K7" s="48"/>
      <c r="L7" s="83" t="s">
        <v>2052</v>
      </c>
      <c r="M7" s="48">
        <v>9.5</v>
      </c>
      <c r="N7" s="30"/>
      <c r="O7" s="18"/>
      <c r="P7" s="3">
        <f t="shared" si="0"/>
        <v>27</v>
      </c>
    </row>
    <row r="8" spans="1:16" ht="28.9">
      <c r="A8" s="27" t="s">
        <v>1444</v>
      </c>
      <c r="B8" s="99" t="s">
        <v>1541</v>
      </c>
      <c r="C8" s="48">
        <v>5</v>
      </c>
      <c r="D8" s="100" t="s">
        <v>1541</v>
      </c>
      <c r="E8" s="48">
        <v>5</v>
      </c>
      <c r="F8" s="38"/>
      <c r="G8" s="18"/>
      <c r="H8" s="100" t="s">
        <v>2053</v>
      </c>
      <c r="I8" s="48">
        <v>5.5</v>
      </c>
      <c r="J8" s="30"/>
      <c r="K8" s="48"/>
      <c r="L8" s="90" t="s">
        <v>2016</v>
      </c>
      <c r="M8" s="18">
        <v>7</v>
      </c>
      <c r="N8" s="30"/>
      <c r="O8" s="18"/>
      <c r="P8" s="3">
        <f t="shared" si="0"/>
        <v>22.5</v>
      </c>
    </row>
    <row r="9" spans="1:16" ht="43.15">
      <c r="A9" s="27" t="s">
        <v>214</v>
      </c>
      <c r="B9" s="38"/>
      <c r="C9" s="48"/>
      <c r="D9" s="44" t="s">
        <v>2017</v>
      </c>
      <c r="E9" s="48">
        <v>6</v>
      </c>
      <c r="F9" s="44" t="s">
        <v>2054</v>
      </c>
      <c r="G9" s="48">
        <v>5</v>
      </c>
      <c r="H9" s="30"/>
      <c r="I9" s="48"/>
      <c r="J9" s="30" t="s">
        <v>2055</v>
      </c>
      <c r="K9" s="48">
        <v>10</v>
      </c>
      <c r="L9" s="30" t="s">
        <v>1673</v>
      </c>
      <c r="M9" s="48">
        <v>3</v>
      </c>
      <c r="N9" s="30"/>
      <c r="O9" s="18"/>
      <c r="P9" s="3">
        <f t="shared" si="0"/>
        <v>24</v>
      </c>
    </row>
    <row r="10" spans="1:16">
      <c r="A10" s="27" t="s">
        <v>698</v>
      </c>
      <c r="B10" s="38"/>
      <c r="C10" s="48"/>
      <c r="D10" s="38"/>
      <c r="E10" s="48"/>
      <c r="F10" s="33" t="s">
        <v>1618</v>
      </c>
      <c r="G10" s="48">
        <v>9.5</v>
      </c>
      <c r="H10" s="30" t="s">
        <v>2021</v>
      </c>
      <c r="I10" s="48">
        <v>4</v>
      </c>
      <c r="J10" s="30" t="s">
        <v>2056</v>
      </c>
      <c r="K10" s="48">
        <v>3</v>
      </c>
      <c r="L10" s="30" t="s">
        <v>26</v>
      </c>
      <c r="M10" s="48"/>
      <c r="N10" s="30"/>
      <c r="O10" s="18"/>
      <c r="P10" s="3">
        <f t="shared" si="0"/>
        <v>16.5</v>
      </c>
    </row>
    <row r="11" spans="1:16" ht="86.45">
      <c r="A11" s="27" t="s">
        <v>1468</v>
      </c>
      <c r="B11" s="36" t="s">
        <v>1973</v>
      </c>
      <c r="C11" s="48">
        <v>7.5</v>
      </c>
      <c r="D11" s="36" t="s">
        <v>1973</v>
      </c>
      <c r="E11" s="48">
        <v>7.5</v>
      </c>
      <c r="F11" s="38"/>
      <c r="G11" s="48"/>
      <c r="H11" s="30"/>
      <c r="I11" s="48"/>
      <c r="J11" s="30"/>
      <c r="K11" s="48"/>
      <c r="L11" s="36" t="s">
        <v>2023</v>
      </c>
      <c r="M11" s="47">
        <v>9</v>
      </c>
      <c r="N11" s="30"/>
      <c r="O11" s="18"/>
      <c r="P11" s="3">
        <f t="shared" si="0"/>
        <v>24</v>
      </c>
    </row>
    <row r="12" spans="1:16" ht="28.9">
      <c r="A12" s="27" t="s">
        <v>694</v>
      </c>
      <c r="B12" s="30" t="s">
        <v>1624</v>
      </c>
      <c r="C12" s="48">
        <v>4</v>
      </c>
      <c r="D12" s="30" t="s">
        <v>1780</v>
      </c>
      <c r="E12" s="48">
        <v>3.5</v>
      </c>
      <c r="F12" s="76" t="s">
        <v>1977</v>
      </c>
      <c r="G12" s="48">
        <v>7.5</v>
      </c>
      <c r="H12" s="102" t="s">
        <v>2024</v>
      </c>
      <c r="I12" s="48">
        <v>4.5</v>
      </c>
      <c r="J12" s="102" t="s">
        <v>2057</v>
      </c>
      <c r="K12" s="48">
        <v>4.5</v>
      </c>
      <c r="L12" s="30"/>
      <c r="M12" s="61"/>
      <c r="N12" s="30"/>
      <c r="O12" s="18"/>
      <c r="P12" s="3">
        <f t="shared" si="0"/>
        <v>24</v>
      </c>
    </row>
    <row r="13" spans="1:16" ht="28.9">
      <c r="A13" s="27" t="s">
        <v>1461</v>
      </c>
      <c r="B13" s="44" t="s">
        <v>2058</v>
      </c>
      <c r="C13" s="48">
        <v>6.5</v>
      </c>
      <c r="D13" s="30"/>
      <c r="E13" s="48"/>
      <c r="F13" s="36" t="s">
        <v>1981</v>
      </c>
      <c r="G13" s="48">
        <v>3</v>
      </c>
      <c r="H13" s="44" t="s">
        <v>2026</v>
      </c>
      <c r="I13" s="48">
        <v>7</v>
      </c>
      <c r="J13" s="44" t="s">
        <v>2059</v>
      </c>
      <c r="K13" s="48">
        <v>7.5</v>
      </c>
      <c r="L13" s="38"/>
      <c r="M13" s="61"/>
      <c r="N13" s="30"/>
      <c r="O13" s="18"/>
      <c r="P13" s="3">
        <f t="shared" si="0"/>
        <v>24</v>
      </c>
    </row>
    <row r="14" spans="1:16" ht="28.9">
      <c r="A14" s="27" t="s">
        <v>1377</v>
      </c>
      <c r="B14" s="99" t="s">
        <v>2060</v>
      </c>
      <c r="C14" s="48">
        <v>5.5</v>
      </c>
      <c r="D14" s="100" t="s">
        <v>1545</v>
      </c>
      <c r="E14" s="48">
        <v>5.5</v>
      </c>
      <c r="F14" s="30" t="s">
        <v>2061</v>
      </c>
      <c r="G14" s="48">
        <v>6</v>
      </c>
      <c r="H14" s="96" t="s">
        <v>2029</v>
      </c>
      <c r="I14" s="48">
        <v>5</v>
      </c>
      <c r="J14" s="100" t="s">
        <v>2062</v>
      </c>
      <c r="K14" s="48">
        <v>2</v>
      </c>
      <c r="L14" s="36"/>
      <c r="M14" s="48"/>
      <c r="N14" s="30"/>
      <c r="O14" s="18"/>
      <c r="P14" s="3">
        <f t="shared" si="0"/>
        <v>24</v>
      </c>
    </row>
    <row r="15" spans="1:16" ht="28.9">
      <c r="A15" s="27" t="s">
        <v>2063</v>
      </c>
      <c r="B15" s="30"/>
      <c r="C15" s="48"/>
      <c r="D15" s="100" t="s">
        <v>2064</v>
      </c>
      <c r="E15" s="48">
        <v>6.5</v>
      </c>
      <c r="F15" s="100" t="s">
        <v>2065</v>
      </c>
      <c r="G15" s="48">
        <v>5</v>
      </c>
      <c r="H15" s="30" t="s">
        <v>2066</v>
      </c>
      <c r="I15" s="48">
        <v>3</v>
      </c>
      <c r="J15" s="100" t="s">
        <v>2067</v>
      </c>
      <c r="K15" s="48">
        <v>7.5</v>
      </c>
      <c r="L15" s="30"/>
      <c r="M15" s="48"/>
      <c r="N15" s="30"/>
      <c r="O15" s="18"/>
      <c r="P15" s="3">
        <f t="shared" si="0"/>
        <v>22</v>
      </c>
    </row>
    <row r="16" spans="1:16" ht="28.9">
      <c r="A16" s="27" t="s">
        <v>2068</v>
      </c>
      <c r="B16" s="104" t="s">
        <v>2069</v>
      </c>
      <c r="C16" s="48">
        <v>5.5</v>
      </c>
      <c r="D16" s="30"/>
      <c r="E16" s="48"/>
      <c r="F16" s="33" t="s">
        <v>2070</v>
      </c>
      <c r="G16" s="48">
        <v>5.5</v>
      </c>
      <c r="H16" s="33" t="s">
        <v>2071</v>
      </c>
      <c r="I16" s="48">
        <v>4</v>
      </c>
      <c r="J16" s="30"/>
      <c r="K16" s="48"/>
      <c r="L16" s="99" t="s">
        <v>2072</v>
      </c>
      <c r="M16" s="48">
        <v>7.5</v>
      </c>
      <c r="N16" s="30"/>
      <c r="O16" s="18"/>
      <c r="P16" s="3">
        <f t="shared" si="0"/>
        <v>22.5</v>
      </c>
    </row>
    <row r="17" spans="1:18" ht="28.9">
      <c r="A17" s="45" t="s">
        <v>1479</v>
      </c>
      <c r="B17" s="82" t="s">
        <v>2073</v>
      </c>
      <c r="C17" s="45">
        <v>7.5</v>
      </c>
      <c r="D17" s="82" t="s">
        <v>2074</v>
      </c>
      <c r="E17" s="82">
        <v>3</v>
      </c>
      <c r="F17" s="85"/>
      <c r="G17" s="82"/>
      <c r="H17" s="84" t="s">
        <v>2075</v>
      </c>
      <c r="I17" s="82">
        <v>7.5</v>
      </c>
      <c r="J17" s="84"/>
      <c r="K17" s="82"/>
      <c r="L17" s="82"/>
      <c r="M17" s="45"/>
      <c r="N17" s="45"/>
      <c r="O17" s="18"/>
      <c r="P17" s="3">
        <f t="shared" si="0"/>
        <v>18</v>
      </c>
    </row>
    <row r="18" spans="1:18" ht="43.15">
      <c r="A18" s="45" t="s">
        <v>2037</v>
      </c>
      <c r="B18" s="84"/>
      <c r="C18" s="82"/>
      <c r="E18" s="48">
        <v>7.5</v>
      </c>
      <c r="F18" s="101" t="s">
        <v>2076</v>
      </c>
      <c r="G18" s="48">
        <v>7.5</v>
      </c>
      <c r="H18" s="82"/>
      <c r="I18" s="82"/>
      <c r="J18" s="101" t="s">
        <v>2077</v>
      </c>
      <c r="K18" s="48">
        <v>7.5</v>
      </c>
      <c r="L18" s="82"/>
      <c r="M18" s="45"/>
      <c r="N18" s="45"/>
      <c r="O18" s="18"/>
      <c r="P18" s="3">
        <v>15</v>
      </c>
    </row>
    <row r="19" spans="1:18">
      <c r="A19" s="45" t="s">
        <v>2078</v>
      </c>
      <c r="B19" s="84"/>
      <c r="C19" s="82"/>
      <c r="D19" s="82"/>
      <c r="E19" s="82"/>
      <c r="F19" s="85"/>
      <c r="G19" s="82"/>
      <c r="H19" s="82"/>
      <c r="I19" s="82"/>
      <c r="J19" s="84"/>
      <c r="K19" s="82"/>
      <c r="L19" s="82"/>
      <c r="M19" s="45"/>
      <c r="N19" s="45"/>
      <c r="O19" s="18"/>
      <c r="P19" s="3">
        <f t="shared" si="0"/>
        <v>0</v>
      </c>
      <c r="R19" t="s">
        <v>2079</v>
      </c>
    </row>
    <row r="20" spans="1:18">
      <c r="A20" s="45" t="s">
        <v>2041</v>
      </c>
      <c r="B20" s="82"/>
      <c r="C20" s="18"/>
      <c r="D20" s="82"/>
      <c r="E20" s="18"/>
      <c r="F20" s="97"/>
      <c r="G20" s="18"/>
      <c r="H20" s="82"/>
      <c r="I20" s="18"/>
      <c r="J20" s="82"/>
      <c r="K20" s="18"/>
      <c r="L20" s="18"/>
      <c r="M20" s="51"/>
      <c r="N20" s="48"/>
      <c r="O20" s="18"/>
      <c r="P20" s="3"/>
    </row>
    <row r="21" spans="1:18">
      <c r="A21" s="52" t="s">
        <v>95</v>
      </c>
      <c r="B21" s="3"/>
      <c r="C21" s="3">
        <f>SUM(C8:C20)</f>
        <v>41.5</v>
      </c>
      <c r="D21" s="3"/>
      <c r="E21" s="3">
        <f>SUM(E8:E20)</f>
        <v>44.5</v>
      </c>
      <c r="F21" s="3"/>
      <c r="G21" s="3">
        <f>SUM(G8:G20)</f>
        <v>49</v>
      </c>
      <c r="H21" s="3"/>
      <c r="I21" s="3">
        <f>SUM(I8:I20)</f>
        <v>40.5</v>
      </c>
      <c r="J21" s="3"/>
      <c r="K21" s="3">
        <f>SUM(K8:K20)</f>
        <v>42</v>
      </c>
      <c r="L21" s="3"/>
      <c r="M21" s="3">
        <f>SUM(M8:M20)</f>
        <v>26.5</v>
      </c>
      <c r="N21" s="3"/>
      <c r="O21" s="3">
        <f>SUM(O8:O20)</f>
        <v>0</v>
      </c>
      <c r="P21" s="53">
        <f>SUM(P8:P20)</f>
        <v>236.5</v>
      </c>
      <c r="Q21">
        <f>P21*20</f>
        <v>4730</v>
      </c>
    </row>
    <row r="22" spans="1:18">
      <c r="C22">
        <f>C21*20</f>
        <v>830</v>
      </c>
      <c r="E22">
        <f>E21*20</f>
        <v>890</v>
      </c>
      <c r="G22">
        <f>G21*20</f>
        <v>980</v>
      </c>
      <c r="I22">
        <f>I21*20</f>
        <v>810</v>
      </c>
      <c r="K22">
        <f>K21*20</f>
        <v>840</v>
      </c>
      <c r="M22">
        <f>M21*20</f>
        <v>530</v>
      </c>
    </row>
    <row r="24" spans="1:18">
      <c r="B24" s="449" t="s">
        <v>2042</v>
      </c>
      <c r="C24" s="449"/>
      <c r="D24" s="449"/>
      <c r="E24" s="449"/>
      <c r="F24" s="449"/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9CB1-DBD0-4CEF-898E-CFC7758465D1}">
  <sheetPr>
    <tabColor theme="9"/>
    <pageSetUpPr fitToPage="1"/>
  </sheetPr>
  <dimension ref="A1:Q24"/>
  <sheetViews>
    <sheetView zoomScale="70" zoomScaleNormal="70" workbookViewId="0">
      <selection activeCell="D1" sqref="D1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0.28515625" bestFit="1" customWidth="1"/>
    <col min="7" max="7" width="4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45929</v>
      </c>
      <c r="C2" s="6"/>
      <c r="D2" s="5">
        <v>45930</v>
      </c>
      <c r="E2" s="6"/>
      <c r="F2" s="5">
        <v>45931</v>
      </c>
      <c r="G2" s="6"/>
      <c r="H2" s="5">
        <v>45932</v>
      </c>
      <c r="I2" s="6"/>
      <c r="J2" s="5">
        <v>45933</v>
      </c>
      <c r="K2" s="6"/>
      <c r="L2" s="5">
        <v>45934</v>
      </c>
      <c r="M2" s="6"/>
      <c r="N2" s="5">
        <v>45935</v>
      </c>
      <c r="O2" s="7"/>
      <c r="P2" s="3"/>
    </row>
    <row r="3" spans="1:16" ht="69" customHeight="1">
      <c r="A3" s="8" t="s">
        <v>9</v>
      </c>
      <c r="B3" s="107" t="s">
        <v>2080</v>
      </c>
      <c r="C3" s="10"/>
      <c r="D3" s="105" t="s">
        <v>2081</v>
      </c>
      <c r="E3" s="10"/>
      <c r="F3" s="106" t="s">
        <v>2082</v>
      </c>
      <c r="G3" s="11"/>
      <c r="H3" s="92" t="s">
        <v>2083</v>
      </c>
      <c r="I3" s="10"/>
      <c r="J3" s="12"/>
      <c r="K3" s="10"/>
      <c r="L3" s="93"/>
      <c r="M3" s="13"/>
      <c r="N3" s="14"/>
      <c r="O3" s="15"/>
      <c r="P3" s="3"/>
    </row>
    <row r="4" spans="1:16" ht="28.9">
      <c r="A4" s="16" t="s">
        <v>14</v>
      </c>
      <c r="B4" s="19" t="s">
        <v>2084</v>
      </c>
      <c r="C4" s="18">
        <v>8</v>
      </c>
      <c r="D4" s="19" t="s">
        <v>555</v>
      </c>
      <c r="E4" s="18">
        <v>8</v>
      </c>
      <c r="F4" s="19" t="s">
        <v>555</v>
      </c>
      <c r="G4" s="18">
        <v>8</v>
      </c>
      <c r="H4" s="19" t="s">
        <v>555</v>
      </c>
      <c r="I4" s="18">
        <v>8</v>
      </c>
      <c r="J4" s="19" t="s">
        <v>555</v>
      </c>
      <c r="K4" s="18">
        <v>8</v>
      </c>
      <c r="L4" s="94" t="s">
        <v>17</v>
      </c>
      <c r="M4" s="18"/>
      <c r="N4" s="18" t="s">
        <v>17</v>
      </c>
      <c r="O4" s="18"/>
      <c r="P4" s="3">
        <f t="shared" ref="P4:P19" si="0">SUM(O4,M4,K4,I4,G4,E4,C4)</f>
        <v>40</v>
      </c>
    </row>
    <row r="5" spans="1:16">
      <c r="A5" s="22" t="s">
        <v>18</v>
      </c>
      <c r="B5" s="26" t="s">
        <v>15</v>
      </c>
      <c r="C5" s="48">
        <v>8</v>
      </c>
      <c r="D5" s="26" t="s">
        <v>15</v>
      </c>
      <c r="E5" s="48">
        <v>8</v>
      </c>
      <c r="F5" s="26" t="s">
        <v>15</v>
      </c>
      <c r="G5" s="48">
        <v>8</v>
      </c>
      <c r="H5" s="26" t="s">
        <v>15</v>
      </c>
      <c r="I5" s="48">
        <v>8</v>
      </c>
      <c r="J5" s="26" t="s">
        <v>15</v>
      </c>
      <c r="K5" s="48">
        <v>8</v>
      </c>
      <c r="L5" s="24"/>
      <c r="M5" s="95"/>
      <c r="N5" s="24"/>
      <c r="O5" s="18"/>
      <c r="P5" s="3">
        <f t="shared" si="0"/>
        <v>40</v>
      </c>
    </row>
    <row r="6" spans="1:16">
      <c r="A6" s="27" t="s">
        <v>1873</v>
      </c>
      <c r="B6" s="30"/>
      <c r="C6" s="48"/>
      <c r="D6" s="36" t="s">
        <v>2010</v>
      </c>
      <c r="E6" s="48">
        <v>4</v>
      </c>
      <c r="F6" s="36" t="s">
        <v>2010</v>
      </c>
      <c r="G6" s="48">
        <v>4</v>
      </c>
      <c r="H6" s="36" t="s">
        <v>26</v>
      </c>
      <c r="I6" s="48">
        <v>0</v>
      </c>
      <c r="J6" s="36" t="s">
        <v>26</v>
      </c>
      <c r="K6" s="48"/>
      <c r="L6" s="30" t="s">
        <v>26</v>
      </c>
      <c r="M6" s="30"/>
      <c r="N6" s="30" t="s">
        <v>17</v>
      </c>
      <c r="O6" s="18"/>
      <c r="P6" s="3">
        <v>8</v>
      </c>
    </row>
    <row r="7" spans="1:16" ht="43.15">
      <c r="A7" s="27" t="s">
        <v>1793</v>
      </c>
      <c r="B7" s="30" t="s">
        <v>1847</v>
      </c>
      <c r="C7" s="48">
        <v>6</v>
      </c>
      <c r="D7" s="30" t="s">
        <v>2085</v>
      </c>
      <c r="E7" s="48">
        <v>8.5</v>
      </c>
      <c r="F7" s="37"/>
      <c r="G7" s="18"/>
      <c r="H7" s="30" t="s">
        <v>2086</v>
      </c>
      <c r="I7" s="48">
        <v>5.5</v>
      </c>
      <c r="J7" s="30"/>
      <c r="K7" s="48"/>
      <c r="L7" s="108" t="s">
        <v>2087</v>
      </c>
      <c r="M7" s="48">
        <v>6.5</v>
      </c>
      <c r="N7" s="30"/>
      <c r="O7" s="18"/>
      <c r="P7" s="32">
        <f t="shared" si="0"/>
        <v>26.5</v>
      </c>
    </row>
    <row r="8" spans="1:16" ht="28.9">
      <c r="A8" s="27" t="s">
        <v>1444</v>
      </c>
      <c r="B8" s="99" t="s">
        <v>1541</v>
      </c>
      <c r="C8" s="48">
        <v>5</v>
      </c>
      <c r="D8" s="100" t="s">
        <v>2088</v>
      </c>
      <c r="E8" s="48">
        <v>6.5</v>
      </c>
      <c r="F8" s="38"/>
      <c r="G8" s="18"/>
      <c r="H8" s="100" t="s">
        <v>2053</v>
      </c>
      <c r="I8" s="48">
        <v>5.5</v>
      </c>
      <c r="J8" s="30"/>
      <c r="K8" s="48"/>
      <c r="L8" s="90" t="s">
        <v>2016</v>
      </c>
      <c r="M8" s="18">
        <v>7</v>
      </c>
      <c r="N8" s="30"/>
      <c r="O8" s="18"/>
      <c r="P8" s="32">
        <f t="shared" si="0"/>
        <v>24</v>
      </c>
    </row>
    <row r="9" spans="1:16" ht="43.15">
      <c r="A9" s="27" t="s">
        <v>214</v>
      </c>
      <c r="B9" s="38"/>
      <c r="C9" s="48"/>
      <c r="D9" s="44" t="s">
        <v>2089</v>
      </c>
      <c r="E9" s="48">
        <v>5</v>
      </c>
      <c r="F9" s="44" t="s">
        <v>2054</v>
      </c>
      <c r="G9" s="48">
        <v>5</v>
      </c>
      <c r="H9" s="96" t="s">
        <v>2029</v>
      </c>
      <c r="I9" s="48">
        <v>5</v>
      </c>
      <c r="J9" s="30" t="s">
        <v>2090</v>
      </c>
      <c r="K9" s="48">
        <v>9</v>
      </c>
      <c r="L9" s="30"/>
      <c r="M9" s="48"/>
      <c r="N9" s="30"/>
      <c r="O9" s="18"/>
      <c r="P9" s="32">
        <f>SUM(O9,M9,K9,I9,G9,E9,C9)</f>
        <v>24</v>
      </c>
    </row>
    <row r="10" spans="1:16" ht="28.9">
      <c r="A10" s="27" t="s">
        <v>698</v>
      </c>
      <c r="B10" s="38"/>
      <c r="C10" s="48"/>
      <c r="D10" s="38"/>
      <c r="E10" s="48"/>
      <c r="F10" s="33"/>
      <c r="G10" s="48">
        <v>9.5</v>
      </c>
      <c r="H10" s="30" t="s">
        <v>2021</v>
      </c>
      <c r="I10" s="48">
        <v>4</v>
      </c>
      <c r="J10" s="30" t="s">
        <v>2091</v>
      </c>
      <c r="K10" s="48">
        <v>6.5</v>
      </c>
      <c r="L10" s="30"/>
      <c r="M10" s="48">
        <v>0</v>
      </c>
      <c r="N10" s="30"/>
      <c r="O10" s="18"/>
      <c r="P10" s="32">
        <v>10.5</v>
      </c>
    </row>
    <row r="11" spans="1:16" ht="86.45">
      <c r="A11" s="27" t="s">
        <v>1468</v>
      </c>
      <c r="B11" s="36" t="s">
        <v>1973</v>
      </c>
      <c r="C11" s="48">
        <v>7.5</v>
      </c>
      <c r="D11" s="36" t="s">
        <v>1973</v>
      </c>
      <c r="E11" s="48">
        <v>7.5</v>
      </c>
      <c r="F11" s="38"/>
      <c r="G11" s="48"/>
      <c r="H11" s="30"/>
      <c r="I11" s="48"/>
      <c r="J11" s="30"/>
      <c r="K11" s="48"/>
      <c r="L11" s="36" t="s">
        <v>2023</v>
      </c>
      <c r="M11" s="47">
        <v>9</v>
      </c>
      <c r="N11" s="30"/>
      <c r="O11" s="18"/>
      <c r="P11" s="32">
        <f t="shared" si="0"/>
        <v>24</v>
      </c>
    </row>
    <row r="12" spans="1:16" ht="28.9">
      <c r="A12" s="27" t="s">
        <v>694</v>
      </c>
      <c r="B12" s="30" t="s">
        <v>1624</v>
      </c>
      <c r="C12" s="48">
        <v>4</v>
      </c>
      <c r="D12" s="30" t="s">
        <v>1780</v>
      </c>
      <c r="E12" s="48">
        <v>3.5</v>
      </c>
      <c r="F12" s="76" t="s">
        <v>2092</v>
      </c>
      <c r="G12" s="48">
        <v>7.5</v>
      </c>
      <c r="H12" s="102" t="s">
        <v>2024</v>
      </c>
      <c r="I12" s="48">
        <v>4.5</v>
      </c>
      <c r="J12" s="102" t="s">
        <v>2057</v>
      </c>
      <c r="K12" s="48">
        <v>4.5</v>
      </c>
      <c r="L12" s="30"/>
      <c r="M12" s="61"/>
      <c r="N12" s="30"/>
      <c r="O12" s="18"/>
      <c r="P12" s="32">
        <f t="shared" si="0"/>
        <v>24</v>
      </c>
    </row>
    <row r="13" spans="1:16" ht="28.9">
      <c r="A13" s="27" t="s">
        <v>1461</v>
      </c>
      <c r="B13" s="44" t="s">
        <v>2058</v>
      </c>
      <c r="C13" s="48">
        <v>6.5</v>
      </c>
      <c r="D13" s="30"/>
      <c r="E13" s="48"/>
      <c r="F13" s="36" t="s">
        <v>1981</v>
      </c>
      <c r="G13" s="48">
        <v>3</v>
      </c>
      <c r="H13" s="44" t="s">
        <v>2093</v>
      </c>
      <c r="I13" s="48">
        <v>7</v>
      </c>
      <c r="J13" s="44" t="s">
        <v>2094</v>
      </c>
      <c r="K13" s="48">
        <v>7.5</v>
      </c>
      <c r="L13" s="38"/>
      <c r="M13" s="61"/>
      <c r="N13" s="30"/>
      <c r="O13" s="18"/>
      <c r="P13" s="32">
        <f t="shared" si="0"/>
        <v>24</v>
      </c>
    </row>
    <row r="14" spans="1:16">
      <c r="A14" s="27" t="s">
        <v>1377</v>
      </c>
      <c r="B14" s="99" t="s">
        <v>2060</v>
      </c>
      <c r="C14" s="48">
        <v>5.5</v>
      </c>
      <c r="D14" s="100" t="s">
        <v>1545</v>
      </c>
      <c r="E14" s="48">
        <v>5.5</v>
      </c>
      <c r="F14" s="30" t="s">
        <v>2061</v>
      </c>
      <c r="G14" s="48">
        <v>6</v>
      </c>
      <c r="H14" s="96"/>
      <c r="I14" s="48"/>
      <c r="J14" s="100" t="s">
        <v>2095</v>
      </c>
      <c r="K14" s="48">
        <v>2</v>
      </c>
      <c r="L14" s="30" t="s">
        <v>2096</v>
      </c>
      <c r="M14" s="48">
        <v>4</v>
      </c>
      <c r="N14" s="30"/>
      <c r="O14" s="18"/>
      <c r="P14" s="32">
        <f t="shared" si="0"/>
        <v>23</v>
      </c>
    </row>
    <row r="15" spans="1:16" ht="28.9">
      <c r="A15" s="27" t="s">
        <v>2063</v>
      </c>
      <c r="B15" s="30"/>
      <c r="C15" s="48"/>
      <c r="D15" s="103" t="s">
        <v>2097</v>
      </c>
      <c r="E15" s="48">
        <v>6.5</v>
      </c>
      <c r="F15" s="100" t="s">
        <v>2065</v>
      </c>
      <c r="G15" s="48">
        <v>5</v>
      </c>
      <c r="H15" s="30" t="s">
        <v>2066</v>
      </c>
      <c r="I15" s="48">
        <v>3</v>
      </c>
      <c r="J15" s="100" t="s">
        <v>2098</v>
      </c>
      <c r="K15" s="48">
        <v>7.5</v>
      </c>
      <c r="L15" s="30"/>
      <c r="M15" s="48"/>
      <c r="N15" s="30"/>
      <c r="O15" s="18"/>
      <c r="P15" s="32">
        <f t="shared" si="0"/>
        <v>22</v>
      </c>
    </row>
    <row r="16" spans="1:16" ht="28.9">
      <c r="A16" s="27" t="s">
        <v>2068</v>
      </c>
      <c r="B16" s="104" t="s">
        <v>2099</v>
      </c>
      <c r="C16" s="48">
        <v>4</v>
      </c>
      <c r="D16" s="30"/>
      <c r="E16" s="48"/>
      <c r="F16" s="33" t="s">
        <v>2100</v>
      </c>
      <c r="G16" s="48">
        <v>5.5</v>
      </c>
      <c r="H16" s="30" t="s">
        <v>2101</v>
      </c>
      <c r="I16" s="48">
        <v>4</v>
      </c>
      <c r="J16" s="30"/>
      <c r="K16" s="48"/>
      <c r="L16" s="99" t="s">
        <v>2102</v>
      </c>
      <c r="M16" s="48">
        <v>7.5</v>
      </c>
      <c r="N16" s="30"/>
      <c r="O16" s="18"/>
      <c r="P16" s="32">
        <f t="shared" si="0"/>
        <v>21</v>
      </c>
    </row>
    <row r="17" spans="1:17" ht="28.9">
      <c r="A17" s="45" t="s">
        <v>1479</v>
      </c>
      <c r="B17" s="82" t="s">
        <v>2073</v>
      </c>
      <c r="C17" s="45">
        <v>7.5</v>
      </c>
      <c r="D17" s="82"/>
      <c r="E17" s="82"/>
      <c r="F17" s="85"/>
      <c r="G17" s="82"/>
      <c r="H17" s="84" t="s">
        <v>2075</v>
      </c>
      <c r="I17" s="82">
        <v>7.5</v>
      </c>
      <c r="J17" s="84"/>
      <c r="K17" s="82"/>
      <c r="L17" s="82"/>
      <c r="M17" s="45"/>
      <c r="N17" s="45"/>
      <c r="O17" s="18"/>
      <c r="P17" s="3">
        <f t="shared" si="0"/>
        <v>15</v>
      </c>
    </row>
    <row r="18" spans="1:17" ht="43.15">
      <c r="A18" s="45" t="s">
        <v>2037</v>
      </c>
      <c r="B18" s="84"/>
      <c r="C18" s="82"/>
      <c r="D18" s="101" t="s">
        <v>2103</v>
      </c>
      <c r="E18" s="48">
        <v>7.5</v>
      </c>
      <c r="F18" s="101" t="s">
        <v>2104</v>
      </c>
      <c r="G18" s="48">
        <v>6.5</v>
      </c>
      <c r="H18" s="82"/>
      <c r="I18" s="82"/>
      <c r="J18" s="84"/>
      <c r="K18" s="82"/>
      <c r="L18" s="82"/>
      <c r="M18" s="45"/>
      <c r="N18" s="45"/>
      <c r="O18" s="18"/>
      <c r="P18" s="3">
        <f t="shared" si="0"/>
        <v>14</v>
      </c>
    </row>
    <row r="19" spans="1:17">
      <c r="A19" s="45" t="s">
        <v>2078</v>
      </c>
      <c r="B19" s="84"/>
      <c r="C19" s="82"/>
      <c r="D19" s="82"/>
      <c r="E19" s="82"/>
      <c r="F19" s="85"/>
      <c r="G19" s="82"/>
      <c r="H19" s="82"/>
      <c r="I19" s="82"/>
      <c r="J19" s="84"/>
      <c r="K19" s="82"/>
      <c r="L19" s="82"/>
      <c r="M19" s="45"/>
      <c r="N19" s="45"/>
      <c r="O19" s="18"/>
      <c r="P19" s="3">
        <f t="shared" si="0"/>
        <v>0</v>
      </c>
    </row>
    <row r="20" spans="1:17">
      <c r="A20" s="45" t="s">
        <v>2041</v>
      </c>
      <c r="B20" s="82"/>
      <c r="C20" s="18"/>
      <c r="D20" s="82"/>
      <c r="E20" s="18"/>
      <c r="F20" s="97"/>
      <c r="G20" s="18"/>
      <c r="H20" s="82"/>
      <c r="I20" s="18"/>
      <c r="J20" s="82"/>
      <c r="K20" s="18"/>
      <c r="L20" s="18"/>
      <c r="M20" s="51"/>
      <c r="N20" s="48"/>
      <c r="O20" s="18"/>
      <c r="P20" s="3">
        <f>SUM(O20,M20,K20,I20,G20,E20,C20)</f>
        <v>0</v>
      </c>
    </row>
    <row r="21" spans="1:17">
      <c r="A21" s="52" t="s">
        <v>95</v>
      </c>
      <c r="B21" s="3"/>
      <c r="C21" s="3">
        <f>SUM(C8:C20)</f>
        <v>40</v>
      </c>
      <c r="D21" s="3"/>
      <c r="E21" s="3">
        <f>SUM(E8:E20)</f>
        <v>42</v>
      </c>
      <c r="F21" s="3"/>
      <c r="G21" s="3">
        <f>SUM(G8:G20)</f>
        <v>48</v>
      </c>
      <c r="H21" s="3"/>
      <c r="I21" s="3">
        <f>SUM(I8:I20)</f>
        <v>40.5</v>
      </c>
      <c r="J21" s="3"/>
      <c r="K21" s="3">
        <f>SUM(K8:K20)</f>
        <v>37</v>
      </c>
      <c r="L21" s="3"/>
      <c r="M21" s="3">
        <f>SUM(M8:M20)</f>
        <v>27.5</v>
      </c>
      <c r="N21" s="3"/>
      <c r="O21" s="3">
        <f>SUM(O8:O20)</f>
        <v>0</v>
      </c>
      <c r="P21" s="53">
        <f>SUM(P8:P20)</f>
        <v>225.5</v>
      </c>
      <c r="Q21">
        <f>P21*20</f>
        <v>4510</v>
      </c>
    </row>
    <row r="22" spans="1:17">
      <c r="C22">
        <f>C21*20</f>
        <v>800</v>
      </c>
      <c r="E22">
        <f>E21*20</f>
        <v>840</v>
      </c>
      <c r="G22">
        <f>G21*20</f>
        <v>960</v>
      </c>
      <c r="I22">
        <f>I21*20</f>
        <v>810</v>
      </c>
      <c r="K22">
        <f>K21*20</f>
        <v>740</v>
      </c>
      <c r="M22">
        <f>M21*20</f>
        <v>550</v>
      </c>
    </row>
    <row r="24" spans="1:17">
      <c r="B24" s="449" t="s">
        <v>2042</v>
      </c>
      <c r="C24" s="449"/>
      <c r="D24" s="449"/>
      <c r="E24" s="449"/>
      <c r="F24" s="449"/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A0D9-79A3-4288-9C94-51F9D0CB3521}">
  <sheetPr>
    <tabColor theme="9"/>
    <pageSetUpPr fitToPage="1"/>
  </sheetPr>
  <dimension ref="A1:Q23"/>
  <sheetViews>
    <sheetView zoomScale="70" zoomScaleNormal="70" workbookViewId="0">
      <selection activeCell="D6" sqref="D6"/>
    </sheetView>
  </sheetViews>
  <sheetFormatPr defaultRowHeight="14.45"/>
  <cols>
    <col min="1" max="1" width="26.28515625" customWidth="1"/>
    <col min="2" max="2" width="17.42578125" customWidth="1"/>
    <col min="3" max="3" width="4.28515625" customWidth="1"/>
    <col min="4" max="4" width="20" customWidth="1"/>
    <col min="5" max="5" width="4.28515625" customWidth="1"/>
    <col min="6" max="6" width="24.140625" customWidth="1"/>
    <col min="7" max="7" width="4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45922</v>
      </c>
      <c r="C2" s="6"/>
      <c r="D2" s="5">
        <v>45923</v>
      </c>
      <c r="E2" s="6"/>
      <c r="F2" s="5">
        <v>45924</v>
      </c>
      <c r="G2" s="6"/>
      <c r="H2" s="5">
        <v>45925</v>
      </c>
      <c r="I2" s="6"/>
      <c r="J2" s="5">
        <v>45926</v>
      </c>
      <c r="K2" s="6"/>
      <c r="L2" s="5">
        <v>45927</v>
      </c>
      <c r="M2" s="6"/>
      <c r="N2" s="5">
        <v>45928</v>
      </c>
      <c r="O2" s="7"/>
      <c r="P2" s="3"/>
    </row>
    <row r="3" spans="1:16" ht="84" customHeight="1">
      <c r="A3" s="8" t="s">
        <v>9</v>
      </c>
      <c r="B3" s="9"/>
      <c r="C3" s="10"/>
      <c r="D3" s="9" t="s">
        <v>2105</v>
      </c>
      <c r="E3" s="10"/>
      <c r="F3" s="9" t="s">
        <v>2106</v>
      </c>
      <c r="G3" s="11"/>
      <c r="H3" s="92" t="s">
        <v>2107</v>
      </c>
      <c r="I3" s="10"/>
      <c r="J3" s="12"/>
      <c r="K3" s="10"/>
      <c r="L3" s="93"/>
      <c r="M3" s="13"/>
      <c r="N3" s="14"/>
      <c r="O3" s="15"/>
      <c r="P3" s="3"/>
    </row>
    <row r="4" spans="1:16" ht="28.9">
      <c r="A4" s="16" t="s">
        <v>14</v>
      </c>
      <c r="B4" s="19" t="s">
        <v>2108</v>
      </c>
      <c r="C4" s="18">
        <v>4</v>
      </c>
      <c r="D4" s="19" t="s">
        <v>16</v>
      </c>
      <c r="E4" s="18">
        <v>8</v>
      </c>
      <c r="F4" s="19" t="s">
        <v>16</v>
      </c>
      <c r="G4" s="18">
        <v>8</v>
      </c>
      <c r="H4" s="19" t="s">
        <v>131</v>
      </c>
      <c r="I4" s="18">
        <v>12</v>
      </c>
      <c r="J4" s="19" t="s">
        <v>2109</v>
      </c>
      <c r="K4" s="18">
        <v>8</v>
      </c>
      <c r="L4" s="94" t="s">
        <v>17</v>
      </c>
      <c r="M4" s="18"/>
      <c r="N4" s="18" t="s">
        <v>17</v>
      </c>
      <c r="O4" s="18"/>
      <c r="P4" s="3">
        <f t="shared" ref="P4:P18" si="0">SUM(O4,M4,K4,I4,G4,E4,C4)</f>
        <v>40</v>
      </c>
    </row>
    <row r="5" spans="1:16">
      <c r="A5" s="22" t="s">
        <v>18</v>
      </c>
      <c r="B5" s="26" t="s">
        <v>15</v>
      </c>
      <c r="C5" s="24">
        <v>8</v>
      </c>
      <c r="D5" s="26" t="s">
        <v>2110</v>
      </c>
      <c r="E5" s="24">
        <v>8</v>
      </c>
      <c r="F5" s="26" t="s">
        <v>2111</v>
      </c>
      <c r="G5" s="24">
        <v>8</v>
      </c>
      <c r="H5" s="26" t="s">
        <v>15</v>
      </c>
      <c r="I5" s="24">
        <v>8</v>
      </c>
      <c r="J5" s="26" t="s">
        <v>461</v>
      </c>
      <c r="K5" s="24">
        <v>8</v>
      </c>
      <c r="L5" s="24"/>
      <c r="M5" s="95"/>
      <c r="N5" s="24"/>
      <c r="O5" s="18"/>
      <c r="P5" s="3">
        <f t="shared" si="0"/>
        <v>40</v>
      </c>
    </row>
    <row r="6" spans="1:16">
      <c r="A6" s="27" t="s">
        <v>1873</v>
      </c>
      <c r="B6" s="30" t="s">
        <v>26</v>
      </c>
      <c r="C6" s="48"/>
      <c r="D6" s="36" t="s">
        <v>2112</v>
      </c>
      <c r="E6" s="48">
        <v>2.75</v>
      </c>
      <c r="F6" s="36" t="s">
        <v>2113</v>
      </c>
      <c r="G6" s="48"/>
      <c r="H6" s="36" t="s">
        <v>2114</v>
      </c>
      <c r="I6" s="48">
        <v>4</v>
      </c>
      <c r="J6" s="36" t="s">
        <v>2114</v>
      </c>
      <c r="K6" s="48">
        <v>4</v>
      </c>
      <c r="L6" s="30" t="s">
        <v>26</v>
      </c>
      <c r="M6" s="48"/>
      <c r="N6" s="30" t="s">
        <v>17</v>
      </c>
      <c r="O6" s="18"/>
      <c r="P6" s="3">
        <f t="shared" si="0"/>
        <v>10.75</v>
      </c>
    </row>
    <row r="7" spans="1:16" ht="57.6">
      <c r="A7" s="27" t="s">
        <v>1793</v>
      </c>
      <c r="B7" s="30" t="s">
        <v>1628</v>
      </c>
      <c r="C7" s="48">
        <v>9</v>
      </c>
      <c r="D7" s="30" t="s">
        <v>2115</v>
      </c>
      <c r="E7" s="48">
        <v>5.5</v>
      </c>
      <c r="F7" s="37"/>
      <c r="G7" s="18"/>
      <c r="H7" s="30" t="s">
        <v>2116</v>
      </c>
      <c r="I7" s="48">
        <v>5</v>
      </c>
      <c r="J7" s="30"/>
      <c r="K7" s="48"/>
      <c r="L7" s="30" t="s">
        <v>2117</v>
      </c>
      <c r="M7" s="48">
        <v>6.5</v>
      </c>
      <c r="N7" s="30"/>
      <c r="O7" s="18"/>
      <c r="P7" s="32">
        <f t="shared" si="0"/>
        <v>26</v>
      </c>
    </row>
    <row r="8" spans="1:16">
      <c r="A8" s="27" t="s">
        <v>1444</v>
      </c>
      <c r="B8" s="30" t="s">
        <v>1541</v>
      </c>
      <c r="C8" s="48">
        <v>5</v>
      </c>
      <c r="D8" s="30" t="s">
        <v>1541</v>
      </c>
      <c r="E8" s="48">
        <v>5</v>
      </c>
      <c r="F8" s="38"/>
      <c r="G8" s="18"/>
      <c r="H8" s="30" t="s">
        <v>2118</v>
      </c>
      <c r="I8" s="48">
        <v>9.5</v>
      </c>
      <c r="J8" s="30"/>
      <c r="K8" s="48"/>
      <c r="L8" s="90" t="s">
        <v>2119</v>
      </c>
      <c r="M8" s="18">
        <v>6.5</v>
      </c>
      <c r="N8" s="30"/>
      <c r="O8" s="18"/>
      <c r="P8" s="32">
        <f t="shared" si="0"/>
        <v>26</v>
      </c>
    </row>
    <row r="9" spans="1:16" ht="86.45">
      <c r="A9" s="27" t="s">
        <v>214</v>
      </c>
      <c r="B9" s="38"/>
      <c r="C9" s="48"/>
      <c r="D9" s="30" t="s">
        <v>2120</v>
      </c>
      <c r="E9" s="48">
        <v>9.5</v>
      </c>
      <c r="F9" s="44" t="s">
        <v>2121</v>
      </c>
      <c r="G9" s="48">
        <v>5.5</v>
      </c>
      <c r="H9" s="30" t="s">
        <v>1561</v>
      </c>
      <c r="I9" s="48">
        <v>6.5</v>
      </c>
      <c r="J9" s="30" t="s">
        <v>2122</v>
      </c>
      <c r="K9" s="48">
        <v>7.5</v>
      </c>
      <c r="L9" s="30" t="s">
        <v>2123</v>
      </c>
      <c r="M9" s="48">
        <v>7.5</v>
      </c>
      <c r="N9" s="30"/>
      <c r="O9" s="18"/>
      <c r="P9" s="32">
        <f>SUM(O9,M9,K9,I9,G9,E9,C9)</f>
        <v>36.5</v>
      </c>
    </row>
    <row r="10" spans="1:16">
      <c r="A10" s="27" t="s">
        <v>698</v>
      </c>
      <c r="B10" s="38"/>
      <c r="C10" s="48"/>
      <c r="D10" s="38"/>
      <c r="E10" s="48"/>
      <c r="F10" s="33" t="s">
        <v>1618</v>
      </c>
      <c r="G10" s="48">
        <v>9.5</v>
      </c>
      <c r="H10" s="30" t="s">
        <v>1559</v>
      </c>
      <c r="I10" s="48">
        <v>3</v>
      </c>
      <c r="J10" s="30" t="s">
        <v>2124</v>
      </c>
      <c r="K10" s="48">
        <v>5.5</v>
      </c>
      <c r="L10" s="38"/>
      <c r="M10" s="48"/>
      <c r="N10" s="30"/>
      <c r="O10" s="18"/>
      <c r="P10" s="32">
        <f t="shared" si="0"/>
        <v>18</v>
      </c>
    </row>
    <row r="11" spans="1:16" ht="72">
      <c r="A11" s="27" t="s">
        <v>1468</v>
      </c>
      <c r="B11" s="36" t="s">
        <v>2125</v>
      </c>
      <c r="C11" s="48">
        <v>7.5</v>
      </c>
      <c r="D11" s="36" t="s">
        <v>2125</v>
      </c>
      <c r="E11" s="48">
        <v>7.5</v>
      </c>
      <c r="F11" s="38"/>
      <c r="G11" s="48"/>
      <c r="H11" s="30"/>
      <c r="I11" s="48"/>
      <c r="J11" s="30"/>
      <c r="K11" s="48"/>
      <c r="L11" s="36" t="s">
        <v>2126</v>
      </c>
      <c r="M11" s="47">
        <v>9</v>
      </c>
      <c r="N11" s="30"/>
      <c r="O11" s="18"/>
      <c r="P11" s="32">
        <f t="shared" si="0"/>
        <v>24</v>
      </c>
    </row>
    <row r="12" spans="1:16" ht="43.15">
      <c r="A12" s="27" t="s">
        <v>694</v>
      </c>
      <c r="B12" s="30" t="s">
        <v>2127</v>
      </c>
      <c r="C12" s="48">
        <v>2.5</v>
      </c>
      <c r="D12" s="30" t="s">
        <v>2050</v>
      </c>
      <c r="E12" s="48">
        <v>3</v>
      </c>
      <c r="F12" s="36" t="s">
        <v>2128</v>
      </c>
      <c r="G12" s="48">
        <v>7.5</v>
      </c>
      <c r="H12" s="36" t="s">
        <v>2129</v>
      </c>
      <c r="I12" s="48">
        <v>5.5</v>
      </c>
      <c r="J12" s="30" t="s">
        <v>2130</v>
      </c>
      <c r="K12" s="48">
        <v>7.5</v>
      </c>
      <c r="L12" s="30"/>
      <c r="M12" s="61"/>
      <c r="N12" s="30"/>
      <c r="O12" s="18"/>
      <c r="P12" s="32">
        <f t="shared" si="0"/>
        <v>26</v>
      </c>
    </row>
    <row r="13" spans="1:16" ht="43.15">
      <c r="A13" s="27" t="s">
        <v>1461</v>
      </c>
      <c r="B13" s="36" t="s">
        <v>2131</v>
      </c>
      <c r="C13" s="48">
        <v>7</v>
      </c>
      <c r="D13" s="30"/>
      <c r="E13" s="48"/>
      <c r="F13" s="36" t="s">
        <v>2132</v>
      </c>
      <c r="G13" s="48">
        <v>3</v>
      </c>
      <c r="H13" s="36" t="s">
        <v>2133</v>
      </c>
      <c r="I13" s="48">
        <v>7</v>
      </c>
      <c r="J13" s="36" t="s">
        <v>2134</v>
      </c>
      <c r="K13" s="48">
        <v>7</v>
      </c>
      <c r="L13" s="38"/>
      <c r="M13" s="61"/>
      <c r="N13" s="30"/>
      <c r="O13" s="18"/>
      <c r="P13" s="32">
        <f t="shared" si="0"/>
        <v>24</v>
      </c>
    </row>
    <row r="14" spans="1:16">
      <c r="A14" s="27" t="s">
        <v>1377</v>
      </c>
      <c r="B14" s="30" t="s">
        <v>1545</v>
      </c>
      <c r="C14" s="48">
        <v>5.5</v>
      </c>
      <c r="D14" s="30" t="s">
        <v>2135</v>
      </c>
      <c r="E14" s="48">
        <v>5.5</v>
      </c>
      <c r="F14" s="30" t="s">
        <v>2136</v>
      </c>
      <c r="G14" s="48">
        <v>6</v>
      </c>
      <c r="H14" s="96"/>
      <c r="I14" s="48"/>
      <c r="J14" s="30" t="s">
        <v>2137</v>
      </c>
      <c r="K14" s="48">
        <v>5</v>
      </c>
      <c r="L14" s="36"/>
      <c r="M14" s="48"/>
      <c r="N14" s="30"/>
      <c r="O14" s="18"/>
      <c r="P14" s="32">
        <f t="shared" si="0"/>
        <v>22</v>
      </c>
    </row>
    <row r="15" spans="1:16" ht="43.15">
      <c r="A15" s="27" t="s">
        <v>2063</v>
      </c>
      <c r="B15" s="30"/>
      <c r="C15" s="48"/>
      <c r="D15" s="30" t="s">
        <v>2138</v>
      </c>
      <c r="E15" s="48">
        <v>6.5</v>
      </c>
      <c r="F15" s="30" t="s">
        <v>2139</v>
      </c>
      <c r="G15" s="48">
        <v>3.5</v>
      </c>
      <c r="H15" s="30"/>
      <c r="I15" s="48"/>
      <c r="J15" s="30" t="s">
        <v>2140</v>
      </c>
      <c r="K15" s="48">
        <v>4</v>
      </c>
      <c r="L15" s="30" t="s">
        <v>2141</v>
      </c>
      <c r="M15" s="48">
        <v>6</v>
      </c>
      <c r="N15" s="30"/>
      <c r="O15" s="18"/>
      <c r="P15" s="32">
        <f t="shared" si="0"/>
        <v>20</v>
      </c>
    </row>
    <row r="16" spans="1:16" ht="28.9">
      <c r="A16" s="27" t="s">
        <v>2068</v>
      </c>
      <c r="B16" s="30" t="s">
        <v>2142</v>
      </c>
      <c r="C16" s="48">
        <v>5.5</v>
      </c>
      <c r="D16" s="30"/>
      <c r="E16" s="48"/>
      <c r="F16" s="30" t="s">
        <v>2143</v>
      </c>
      <c r="G16" s="48">
        <v>5</v>
      </c>
      <c r="H16" s="30" t="s">
        <v>2144</v>
      </c>
      <c r="I16" s="48">
        <v>4</v>
      </c>
      <c r="J16" s="30"/>
      <c r="K16" s="48"/>
      <c r="L16" s="30" t="s">
        <v>2145</v>
      </c>
      <c r="M16" s="48">
        <v>6.5</v>
      </c>
      <c r="N16" s="30"/>
      <c r="O16" s="18"/>
      <c r="P16" s="32">
        <f t="shared" si="0"/>
        <v>21</v>
      </c>
    </row>
    <row r="17" spans="1:17" ht="57.6">
      <c r="A17" s="45" t="s">
        <v>1479</v>
      </c>
      <c r="B17" s="82" t="s">
        <v>2146</v>
      </c>
      <c r="C17" s="45">
        <v>7.5</v>
      </c>
      <c r="D17" s="82"/>
      <c r="E17" s="82"/>
      <c r="F17" s="85"/>
      <c r="G17" s="82"/>
      <c r="H17" s="84" t="s">
        <v>2147</v>
      </c>
      <c r="I17" s="82">
        <v>7.5</v>
      </c>
      <c r="J17" s="84"/>
      <c r="K17" s="82"/>
      <c r="L17" s="82"/>
      <c r="M17" s="45"/>
      <c r="N17" s="45"/>
      <c r="O17" s="18"/>
      <c r="P17" s="3">
        <f t="shared" si="0"/>
        <v>15</v>
      </c>
    </row>
    <row r="18" spans="1:17" ht="43.15">
      <c r="A18" s="45" t="s">
        <v>2148</v>
      </c>
      <c r="B18" s="84"/>
      <c r="C18" s="82"/>
      <c r="D18" s="48" t="s">
        <v>2149</v>
      </c>
      <c r="E18" s="48">
        <v>7.5</v>
      </c>
      <c r="F18" s="48" t="s">
        <v>2149</v>
      </c>
      <c r="G18" s="48">
        <v>7.5</v>
      </c>
      <c r="H18" s="82"/>
      <c r="I18" s="82"/>
      <c r="J18" s="84"/>
      <c r="K18" s="82"/>
      <c r="L18" s="82"/>
      <c r="M18" s="45"/>
      <c r="N18" s="45"/>
      <c r="O18" s="20"/>
      <c r="P18" s="3">
        <f t="shared" si="0"/>
        <v>15</v>
      </c>
    </row>
    <row r="19" spans="1:17">
      <c r="A19" s="45" t="s">
        <v>2041</v>
      </c>
      <c r="B19" s="82"/>
      <c r="C19" s="18"/>
      <c r="D19" s="82"/>
      <c r="E19" s="18"/>
      <c r="F19" s="82"/>
      <c r="G19" s="18"/>
      <c r="H19" s="97"/>
      <c r="I19" s="18"/>
      <c r="J19" s="82"/>
      <c r="K19" s="18"/>
      <c r="L19" s="18"/>
      <c r="M19" s="51"/>
      <c r="N19" s="48"/>
      <c r="O19" s="18"/>
      <c r="P19" s="3">
        <f>SUM(O19,M19,K19,I19,G19,E19,C19)</f>
        <v>0</v>
      </c>
    </row>
    <row r="20" spans="1:17">
      <c r="A20" s="52" t="s">
        <v>95</v>
      </c>
      <c r="B20" s="3"/>
      <c r="C20" s="3">
        <f>SUM(C8:C19)</f>
        <v>40.5</v>
      </c>
      <c r="D20" s="3"/>
      <c r="E20" s="3">
        <f>SUM(E8:E19)</f>
        <v>44.5</v>
      </c>
      <c r="F20" s="3"/>
      <c r="G20" s="3">
        <f>SUM(G8:G19)</f>
        <v>47.5</v>
      </c>
      <c r="H20" s="3"/>
      <c r="I20" s="3">
        <f>SUM(I8:I19)</f>
        <v>43</v>
      </c>
      <c r="J20" s="3"/>
      <c r="K20" s="3">
        <f>SUM(K8:K19)</f>
        <v>36.5</v>
      </c>
      <c r="L20" s="3"/>
      <c r="M20" s="3">
        <f>SUM(M8:M19)</f>
        <v>35.5</v>
      </c>
      <c r="N20" s="3"/>
      <c r="O20" s="3">
        <f>SUM(O8:O19)</f>
        <v>0</v>
      </c>
      <c r="P20" s="53">
        <f>SUM(P8:P19)</f>
        <v>247.5</v>
      </c>
      <c r="Q20">
        <f>P20*20</f>
        <v>4950</v>
      </c>
    </row>
    <row r="21" spans="1:17">
      <c r="C21">
        <f>C20*20</f>
        <v>810</v>
      </c>
      <c r="E21">
        <f>E20*20</f>
        <v>890</v>
      </c>
      <c r="G21">
        <f>G20*20</f>
        <v>950</v>
      </c>
      <c r="I21">
        <f>I20*20</f>
        <v>860</v>
      </c>
      <c r="K21">
        <f>K20*20</f>
        <v>730</v>
      </c>
      <c r="M21">
        <f>M20*20</f>
        <v>710</v>
      </c>
    </row>
    <row r="23" spans="1:17">
      <c r="B23" s="449" t="s">
        <v>2042</v>
      </c>
      <c r="C23" s="449"/>
      <c r="D23" s="449"/>
      <c r="E23" s="449"/>
      <c r="F23" s="449"/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C907-84E7-4850-8687-767A6CCF4F17}">
  <sheetPr>
    <tabColor theme="9"/>
    <pageSetUpPr fitToPage="1"/>
  </sheetPr>
  <dimension ref="A1:Q21"/>
  <sheetViews>
    <sheetView zoomScale="60" zoomScaleNormal="60" workbookViewId="0">
      <selection activeCell="K4" sqref="K4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5.5703125" bestFit="1" customWidth="1"/>
    <col min="6" max="6" width="20.28515625" bestFit="1" customWidth="1"/>
    <col min="7" max="7" width="5.5703125" bestFit="1" customWidth="1"/>
    <col min="8" max="8" width="20.85546875" bestFit="1" customWidth="1"/>
    <col min="9" max="9" width="4.7109375" bestFit="1" customWidth="1"/>
    <col min="10" max="10" width="21" bestFit="1" customWidth="1"/>
    <col min="11" max="11" width="5.5703125" bestFit="1" customWidth="1"/>
    <col min="12" max="12" width="14.42578125" bestFit="1" customWidth="1"/>
    <col min="13" max="13" width="5.5703125" bestFit="1" customWidth="1"/>
    <col min="14" max="14" width="7.28515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45915</v>
      </c>
      <c r="C2" s="6"/>
      <c r="D2" s="5">
        <v>45916</v>
      </c>
      <c r="E2" s="6"/>
      <c r="F2" s="5">
        <v>45917</v>
      </c>
      <c r="G2" s="6"/>
      <c r="H2" s="5">
        <v>45918</v>
      </c>
      <c r="I2" s="6"/>
      <c r="J2" s="5">
        <v>45919</v>
      </c>
      <c r="K2" s="6"/>
      <c r="L2" s="5">
        <v>45920</v>
      </c>
      <c r="M2" s="6"/>
      <c r="N2" s="5">
        <v>45921</v>
      </c>
      <c r="O2" s="7"/>
      <c r="P2" s="3"/>
    </row>
    <row r="3" spans="1:16" ht="63" customHeight="1">
      <c r="A3" s="8" t="s">
        <v>9</v>
      </c>
      <c r="B3" s="9"/>
      <c r="C3" s="64"/>
      <c r="D3" s="9"/>
      <c r="E3" s="64"/>
      <c r="F3" s="9"/>
      <c r="G3" s="65"/>
      <c r="H3" s="92" t="s">
        <v>2150</v>
      </c>
      <c r="I3" s="64"/>
      <c r="J3" s="12"/>
      <c r="K3" s="64"/>
      <c r="L3" s="93" t="s">
        <v>2151</v>
      </c>
      <c r="M3" s="18"/>
      <c r="N3" s="14"/>
      <c r="O3" s="15"/>
      <c r="P3" s="3"/>
    </row>
    <row r="4" spans="1:16">
      <c r="A4" s="16" t="s">
        <v>14</v>
      </c>
      <c r="B4" s="19" t="s">
        <v>1245</v>
      </c>
      <c r="C4" s="18">
        <v>8.5</v>
      </c>
      <c r="D4" s="19" t="s">
        <v>578</v>
      </c>
      <c r="E4" s="18">
        <v>9.5</v>
      </c>
      <c r="F4" s="19" t="s">
        <v>2152</v>
      </c>
      <c r="G4" s="18">
        <v>11.5</v>
      </c>
      <c r="H4" s="19" t="s">
        <v>1711</v>
      </c>
      <c r="I4" s="98">
        <v>12.5</v>
      </c>
      <c r="J4" s="19" t="s">
        <v>129</v>
      </c>
      <c r="K4" s="18">
        <v>7</v>
      </c>
      <c r="L4" s="94" t="s">
        <v>17</v>
      </c>
      <c r="M4" s="18"/>
      <c r="N4" s="18" t="s">
        <v>17</v>
      </c>
      <c r="O4" s="18"/>
      <c r="P4" s="3">
        <f t="shared" ref="P4:P17" si="0">SUM(O4,M4,K4,I4,G4,E4,C4)</f>
        <v>49</v>
      </c>
    </row>
    <row r="5" spans="1:16" ht="28.9">
      <c r="A5" s="22" t="s">
        <v>18</v>
      </c>
      <c r="B5" s="26" t="s">
        <v>15</v>
      </c>
      <c r="C5" s="48">
        <v>8</v>
      </c>
      <c r="D5" s="26" t="s">
        <v>15</v>
      </c>
      <c r="E5" s="48">
        <v>8</v>
      </c>
      <c r="F5" s="25" t="s">
        <v>2153</v>
      </c>
      <c r="G5" s="18">
        <v>8.5</v>
      </c>
      <c r="H5" s="26" t="s">
        <v>635</v>
      </c>
      <c r="I5" s="48">
        <v>8</v>
      </c>
      <c r="J5" s="26" t="s">
        <v>807</v>
      </c>
      <c r="K5" s="48">
        <v>7.5</v>
      </c>
      <c r="L5" s="24"/>
      <c r="M5" s="51"/>
      <c r="N5" s="24"/>
      <c r="O5" s="18"/>
      <c r="P5" s="3">
        <f t="shared" si="0"/>
        <v>40</v>
      </c>
    </row>
    <row r="6" spans="1:16">
      <c r="A6" s="27" t="s">
        <v>1873</v>
      </c>
      <c r="B6" s="30" t="s">
        <v>26</v>
      </c>
      <c r="C6" s="48"/>
      <c r="D6" s="30" t="s">
        <v>1360</v>
      </c>
      <c r="E6" s="48"/>
      <c r="F6" s="36" t="s">
        <v>2114</v>
      </c>
      <c r="G6" s="48">
        <v>4</v>
      </c>
      <c r="H6" s="36" t="s">
        <v>2114</v>
      </c>
      <c r="I6" s="48">
        <v>4</v>
      </c>
      <c r="J6" s="36" t="s">
        <v>2114</v>
      </c>
      <c r="K6" s="48">
        <v>4</v>
      </c>
      <c r="L6" s="30" t="s">
        <v>26</v>
      </c>
      <c r="M6" s="48"/>
      <c r="N6" s="30" t="s">
        <v>17</v>
      </c>
      <c r="O6" s="18"/>
      <c r="P6" s="3">
        <f t="shared" si="0"/>
        <v>12</v>
      </c>
    </row>
    <row r="7" spans="1:16" ht="28.9">
      <c r="A7" s="27" t="s">
        <v>1793</v>
      </c>
      <c r="B7" s="30" t="s">
        <v>1628</v>
      </c>
      <c r="C7" s="48">
        <v>9</v>
      </c>
      <c r="D7" s="30" t="s">
        <v>1561</v>
      </c>
      <c r="E7" s="48">
        <v>6.5</v>
      </c>
      <c r="F7" s="37"/>
      <c r="G7" s="18"/>
      <c r="H7" s="30" t="s">
        <v>1541</v>
      </c>
      <c r="I7" s="48">
        <v>5</v>
      </c>
      <c r="J7" s="30"/>
      <c r="K7" s="48"/>
      <c r="L7" s="30" t="s">
        <v>2154</v>
      </c>
      <c r="M7" s="48">
        <v>9.5</v>
      </c>
      <c r="N7" s="30"/>
      <c r="O7" s="18"/>
      <c r="P7" s="32">
        <f t="shared" si="0"/>
        <v>30</v>
      </c>
    </row>
    <row r="8" spans="1:16">
      <c r="A8" s="27" t="s">
        <v>1444</v>
      </c>
      <c r="B8" s="30" t="s">
        <v>1541</v>
      </c>
      <c r="C8" s="48">
        <v>5</v>
      </c>
      <c r="D8" s="30" t="s">
        <v>1541</v>
      </c>
      <c r="E8" s="48">
        <v>5</v>
      </c>
      <c r="F8" s="38"/>
      <c r="G8" s="18"/>
      <c r="H8" s="30" t="s">
        <v>1779</v>
      </c>
      <c r="I8" s="48">
        <v>3</v>
      </c>
      <c r="J8" s="30" t="s">
        <v>2155</v>
      </c>
      <c r="K8" s="48">
        <v>2.5</v>
      </c>
      <c r="L8" s="90" t="s">
        <v>2156</v>
      </c>
      <c r="M8" s="18">
        <v>8.5</v>
      </c>
      <c r="N8" s="30"/>
      <c r="O8" s="18"/>
      <c r="P8" s="32">
        <f t="shared" si="0"/>
        <v>24</v>
      </c>
    </row>
    <row r="9" spans="1:16" ht="43.15">
      <c r="A9" s="27" t="s">
        <v>214</v>
      </c>
      <c r="B9" s="48"/>
      <c r="C9" s="48"/>
      <c r="D9" s="44" t="s">
        <v>2157</v>
      </c>
      <c r="E9" s="48">
        <v>10</v>
      </c>
      <c r="F9" s="44" t="s">
        <v>2158</v>
      </c>
      <c r="G9" s="48">
        <v>7</v>
      </c>
      <c r="H9" s="30" t="s">
        <v>2159</v>
      </c>
      <c r="I9" s="48">
        <v>4</v>
      </c>
      <c r="J9" s="30" t="s">
        <v>2160</v>
      </c>
      <c r="K9" s="48">
        <v>9.5</v>
      </c>
      <c r="L9" s="30" t="s">
        <v>2161</v>
      </c>
      <c r="M9" s="48">
        <v>9.5</v>
      </c>
      <c r="N9" s="30"/>
      <c r="O9" s="18"/>
      <c r="P9" s="32">
        <f t="shared" si="0"/>
        <v>40</v>
      </c>
    </row>
    <row r="10" spans="1:16">
      <c r="A10" s="27" t="s">
        <v>698</v>
      </c>
      <c r="B10" s="38"/>
      <c r="C10" s="48"/>
      <c r="D10" s="38"/>
      <c r="E10" s="48"/>
      <c r="F10" s="33" t="s">
        <v>1618</v>
      </c>
      <c r="G10" s="48">
        <v>9.5</v>
      </c>
      <c r="H10" s="30" t="s">
        <v>2162</v>
      </c>
      <c r="I10" s="48">
        <v>5.5</v>
      </c>
      <c r="J10" s="30" t="s">
        <v>807</v>
      </c>
      <c r="K10" s="48"/>
      <c r="L10" s="38"/>
      <c r="M10" s="48"/>
      <c r="N10" s="30"/>
      <c r="O10" s="18"/>
      <c r="P10" s="32">
        <f t="shared" si="0"/>
        <v>15</v>
      </c>
    </row>
    <row r="11" spans="1:16" ht="72">
      <c r="A11" s="27" t="s">
        <v>1468</v>
      </c>
      <c r="B11" s="36" t="s">
        <v>2163</v>
      </c>
      <c r="C11" s="48">
        <v>7.5</v>
      </c>
      <c r="D11" s="36" t="s">
        <v>2163</v>
      </c>
      <c r="E11" s="48">
        <v>7.5</v>
      </c>
      <c r="F11" s="38"/>
      <c r="G11" s="48"/>
      <c r="H11" s="30"/>
      <c r="I11" s="48"/>
      <c r="J11" s="30"/>
      <c r="K11" s="48"/>
      <c r="L11" s="36" t="s">
        <v>2164</v>
      </c>
      <c r="M11" s="47">
        <v>9</v>
      </c>
      <c r="N11" s="30"/>
      <c r="O11" s="18"/>
      <c r="P11" s="32">
        <f t="shared" si="0"/>
        <v>24</v>
      </c>
    </row>
    <row r="12" spans="1:16" ht="43.15">
      <c r="A12" s="27" t="s">
        <v>694</v>
      </c>
      <c r="B12" s="30" t="s">
        <v>2165</v>
      </c>
      <c r="C12" s="48">
        <v>3</v>
      </c>
      <c r="D12" s="38"/>
      <c r="E12" s="48"/>
      <c r="F12" s="36" t="s">
        <v>2166</v>
      </c>
      <c r="G12" s="48">
        <v>7</v>
      </c>
      <c r="H12" s="36" t="s">
        <v>2167</v>
      </c>
      <c r="I12" s="45">
        <v>7</v>
      </c>
      <c r="J12" s="36" t="s">
        <v>2168</v>
      </c>
      <c r="K12" s="48">
        <v>7</v>
      </c>
      <c r="L12" s="30"/>
      <c r="M12" s="61"/>
      <c r="N12" s="30"/>
      <c r="O12" s="18"/>
      <c r="P12" s="32">
        <f t="shared" si="0"/>
        <v>24</v>
      </c>
    </row>
    <row r="13" spans="1:16" ht="43.15">
      <c r="A13" s="27" t="s">
        <v>1461</v>
      </c>
      <c r="B13" s="44" t="s">
        <v>2158</v>
      </c>
      <c r="C13" s="48">
        <v>7</v>
      </c>
      <c r="D13" s="30"/>
      <c r="E13" s="48"/>
      <c r="F13" s="30" t="s">
        <v>2169</v>
      </c>
      <c r="G13" s="48">
        <v>3</v>
      </c>
      <c r="H13" s="44" t="s">
        <v>2170</v>
      </c>
      <c r="I13" s="48">
        <v>7</v>
      </c>
      <c r="J13" s="44" t="s">
        <v>2131</v>
      </c>
      <c r="K13" s="48">
        <v>7</v>
      </c>
      <c r="L13" s="38"/>
      <c r="M13" s="61"/>
      <c r="N13" s="30"/>
      <c r="O13" s="18"/>
      <c r="P13" s="32">
        <f t="shared" si="0"/>
        <v>24</v>
      </c>
    </row>
    <row r="14" spans="1:16">
      <c r="A14" s="27" t="s">
        <v>1377</v>
      </c>
      <c r="B14" s="30" t="s">
        <v>1545</v>
      </c>
      <c r="C14" s="48">
        <v>5.5</v>
      </c>
      <c r="D14" s="30" t="s">
        <v>1545</v>
      </c>
      <c r="E14" s="48">
        <v>5.5</v>
      </c>
      <c r="F14" s="30" t="s">
        <v>1545</v>
      </c>
      <c r="G14" s="48">
        <v>5.5</v>
      </c>
      <c r="H14" s="30" t="s">
        <v>2171</v>
      </c>
      <c r="I14" s="48">
        <v>3</v>
      </c>
      <c r="J14" s="30" t="s">
        <v>2172</v>
      </c>
      <c r="K14" s="48">
        <v>5.5</v>
      </c>
      <c r="L14" s="36" t="s">
        <v>26</v>
      </c>
      <c r="M14" s="48"/>
      <c r="N14" s="30"/>
      <c r="O14" s="18"/>
      <c r="P14" s="32">
        <f t="shared" si="0"/>
        <v>25</v>
      </c>
    </row>
    <row r="15" spans="1:16" ht="72">
      <c r="A15" s="45" t="s">
        <v>1479</v>
      </c>
      <c r="B15" s="84"/>
      <c r="C15" s="82"/>
      <c r="D15" s="82"/>
      <c r="E15" s="82"/>
      <c r="F15" s="85"/>
      <c r="G15" s="82"/>
      <c r="H15" s="82" t="s">
        <v>2173</v>
      </c>
      <c r="I15" s="82">
        <v>8.5</v>
      </c>
      <c r="J15" s="84" t="s">
        <v>2174</v>
      </c>
      <c r="K15" s="82">
        <v>7.5</v>
      </c>
      <c r="L15" s="82" t="s">
        <v>2146</v>
      </c>
      <c r="M15" s="45">
        <v>7.5</v>
      </c>
      <c r="N15" s="45"/>
      <c r="O15" s="18"/>
      <c r="P15" s="3">
        <f t="shared" si="0"/>
        <v>23.5</v>
      </c>
    </row>
    <row r="16" spans="1:16" ht="43.15">
      <c r="A16" s="45" t="s">
        <v>2148</v>
      </c>
      <c r="B16" s="84"/>
      <c r="C16" s="82"/>
      <c r="D16" s="48" t="s">
        <v>2175</v>
      </c>
      <c r="E16" s="48">
        <v>7.5</v>
      </c>
      <c r="F16" s="48" t="s">
        <v>2175</v>
      </c>
      <c r="G16" s="48">
        <v>7.5</v>
      </c>
      <c r="H16" s="82"/>
      <c r="I16" s="82"/>
      <c r="J16" s="84"/>
      <c r="K16" s="82"/>
      <c r="L16" s="82"/>
      <c r="M16" s="45"/>
      <c r="N16" s="45"/>
      <c r="O16" s="20"/>
      <c r="P16" s="3">
        <f t="shared" si="0"/>
        <v>15</v>
      </c>
    </row>
    <row r="17" spans="1:17">
      <c r="A17" s="45" t="s">
        <v>2041</v>
      </c>
      <c r="B17" s="82"/>
      <c r="C17" s="18"/>
      <c r="D17" s="82"/>
      <c r="E17" s="18"/>
      <c r="F17" s="82"/>
      <c r="G17" s="18"/>
      <c r="H17" s="82"/>
      <c r="I17" s="18"/>
      <c r="J17" s="82"/>
      <c r="K17" s="18"/>
      <c r="L17" s="18"/>
      <c r="M17" s="51"/>
      <c r="N17" s="48"/>
      <c r="O17" s="20"/>
      <c r="P17" s="3">
        <f t="shared" si="0"/>
        <v>0</v>
      </c>
    </row>
    <row r="18" spans="1:17">
      <c r="A18" s="52" t="s">
        <v>95</v>
      </c>
      <c r="B18" s="3"/>
      <c r="C18" s="86">
        <f>SUM(C7:C17)</f>
        <v>37</v>
      </c>
      <c r="D18" s="3"/>
      <c r="E18" s="86">
        <f>SUM(E7:E17)</f>
        <v>42</v>
      </c>
      <c r="F18" s="3"/>
      <c r="G18" s="86">
        <f>SUM(G7:G17)</f>
        <v>39.5</v>
      </c>
      <c r="H18" s="3"/>
      <c r="I18" s="86">
        <f>SUM(I7:I17)</f>
        <v>43</v>
      </c>
      <c r="J18" s="3"/>
      <c r="K18" s="86">
        <f>SUM(K7:K17)</f>
        <v>39</v>
      </c>
      <c r="L18" s="3"/>
      <c r="M18" s="86">
        <f>SUM(M7:M17)</f>
        <v>44</v>
      </c>
      <c r="N18" s="3"/>
      <c r="O18" s="86">
        <f>SUM(O15:O17)</f>
        <v>0</v>
      </c>
      <c r="P18" s="53">
        <f>M18+K18+I18+G18+E18+C18</f>
        <v>244.5</v>
      </c>
      <c r="Q18">
        <f>P18*20</f>
        <v>4890</v>
      </c>
    </row>
    <row r="19" spans="1:17">
      <c r="C19">
        <f>C18*20</f>
        <v>740</v>
      </c>
      <c r="E19">
        <f>E18*20</f>
        <v>840</v>
      </c>
      <c r="G19">
        <f>G18*20</f>
        <v>790</v>
      </c>
      <c r="I19">
        <f>I18*20</f>
        <v>860</v>
      </c>
      <c r="K19">
        <f>K18*20</f>
        <v>780</v>
      </c>
      <c r="M19">
        <f>M18*20</f>
        <v>880</v>
      </c>
    </row>
    <row r="21" spans="1:17">
      <c r="B21" s="449" t="s">
        <v>2042</v>
      </c>
      <c r="C21" s="449"/>
      <c r="D21" s="449"/>
      <c r="E21" s="449"/>
      <c r="F21" s="449"/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E345-23AD-450F-BF09-85D2B96F80B7}">
  <sheetPr>
    <tabColor theme="9"/>
    <pageSetUpPr fitToPage="1"/>
  </sheetPr>
  <dimension ref="A1:P22"/>
  <sheetViews>
    <sheetView zoomScale="50" zoomScaleNormal="50" workbookViewId="0">
      <selection activeCell="A10" sqref="A10"/>
    </sheetView>
  </sheetViews>
  <sheetFormatPr defaultRowHeight="14.45"/>
  <cols>
    <col min="1" max="1" width="26.28515625" customWidth="1"/>
    <col min="2" max="2" width="17.42578125" customWidth="1"/>
    <col min="3" max="3" width="5.5703125" bestFit="1" customWidth="1"/>
    <col min="4" max="4" width="20" customWidth="1"/>
    <col min="5" max="5" width="4.28515625" customWidth="1"/>
    <col min="6" max="6" width="20.28515625" bestFit="1" customWidth="1"/>
    <col min="7" max="7" width="5.5703125" bestFit="1" customWidth="1"/>
    <col min="8" max="8" width="20.85546875" bestFit="1" customWidth="1"/>
    <col min="9" max="9" width="4.28515625" customWidth="1"/>
    <col min="10" max="10" width="21" bestFit="1" customWidth="1"/>
    <col min="11" max="11" width="4.42578125" customWidth="1"/>
    <col min="12" max="12" width="14.42578125" bestFit="1" customWidth="1"/>
    <col min="13" max="13" width="5.5703125" bestFit="1" customWidth="1"/>
    <col min="14" max="14" width="7.7109375" bestFit="1" customWidth="1"/>
    <col min="15" max="15" width="4.85546875" bestFit="1" customWidth="1"/>
    <col min="16" max="16" width="7.42578125" bestFit="1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86" t="s">
        <v>1</v>
      </c>
      <c r="P1" s="3" t="s">
        <v>8</v>
      </c>
    </row>
    <row r="2" spans="1:16">
      <c r="A2" s="4"/>
      <c r="B2" s="5">
        <v>45908</v>
      </c>
      <c r="C2" s="6"/>
      <c r="D2" s="5">
        <v>45909</v>
      </c>
      <c r="E2" s="6"/>
      <c r="F2" s="5">
        <v>45910</v>
      </c>
      <c r="G2" s="6"/>
      <c r="H2" s="5">
        <v>45911</v>
      </c>
      <c r="I2" s="6"/>
      <c r="J2" s="5">
        <v>45912</v>
      </c>
      <c r="K2" s="6"/>
      <c r="L2" s="5">
        <v>45913</v>
      </c>
      <c r="M2" s="6"/>
      <c r="N2" s="5">
        <v>45914</v>
      </c>
      <c r="O2" s="88"/>
      <c r="P2" s="3"/>
    </row>
    <row r="3" spans="1:16" ht="63" customHeight="1">
      <c r="A3" s="8" t="s">
        <v>9</v>
      </c>
      <c r="B3" s="9" t="s">
        <v>2176</v>
      </c>
      <c r="C3" s="64"/>
      <c r="D3" s="9" t="s">
        <v>2176</v>
      </c>
      <c r="E3" s="64"/>
      <c r="F3" s="9" t="s">
        <v>2176</v>
      </c>
      <c r="G3" s="65"/>
      <c r="H3" s="9" t="s">
        <v>2176</v>
      </c>
      <c r="I3" s="64"/>
      <c r="J3" s="12" t="s">
        <v>2176</v>
      </c>
      <c r="K3" s="64"/>
      <c r="L3" s="9"/>
      <c r="M3" s="18"/>
      <c r="N3" s="89"/>
      <c r="O3" s="20"/>
      <c r="P3" s="3"/>
    </row>
    <row r="4" spans="1:16">
      <c r="A4" s="16" t="s">
        <v>14</v>
      </c>
      <c r="B4" s="17" t="s">
        <v>1168</v>
      </c>
      <c r="C4" s="18">
        <v>9.5</v>
      </c>
      <c r="D4" s="17" t="s">
        <v>16</v>
      </c>
      <c r="E4" s="18">
        <v>8</v>
      </c>
      <c r="F4" s="19" t="s">
        <v>2177</v>
      </c>
      <c r="G4" s="18">
        <v>9.5</v>
      </c>
      <c r="H4" s="19" t="s">
        <v>2178</v>
      </c>
      <c r="I4" s="18">
        <v>15</v>
      </c>
      <c r="J4" s="19" t="s">
        <v>2179</v>
      </c>
      <c r="K4" s="18">
        <v>10</v>
      </c>
      <c r="L4" s="19" t="s">
        <v>17</v>
      </c>
      <c r="M4" s="18"/>
      <c r="N4" s="18" t="s">
        <v>17</v>
      </c>
      <c r="O4" s="20"/>
      <c r="P4" s="3">
        <f t="shared" ref="P4:P18" si="0">SUM(O4,M4,K4,I4,G4,E4,C4)</f>
        <v>52</v>
      </c>
    </row>
    <row r="5" spans="1:16" ht="43.15">
      <c r="A5" s="22" t="s">
        <v>18</v>
      </c>
      <c r="B5" s="25" t="s">
        <v>2180</v>
      </c>
      <c r="C5" s="48">
        <v>8</v>
      </c>
      <c r="D5" s="26" t="s">
        <v>2181</v>
      </c>
      <c r="E5" s="48">
        <v>9</v>
      </c>
      <c r="F5" s="26" t="s">
        <v>2181</v>
      </c>
      <c r="G5" s="48">
        <v>9</v>
      </c>
      <c r="H5" s="26" t="s">
        <v>2182</v>
      </c>
      <c r="I5" s="48">
        <v>8</v>
      </c>
      <c r="J5" s="26" t="s">
        <v>2183</v>
      </c>
      <c r="K5" s="48">
        <v>6</v>
      </c>
      <c r="L5" s="24"/>
      <c r="M5" s="51"/>
      <c r="N5" s="24"/>
      <c r="O5" s="18"/>
      <c r="P5" s="3">
        <f t="shared" si="0"/>
        <v>40</v>
      </c>
    </row>
    <row r="6" spans="1:16">
      <c r="A6" s="27" t="s">
        <v>1873</v>
      </c>
      <c r="B6" s="38" t="s">
        <v>17</v>
      </c>
      <c r="C6" s="48"/>
      <c r="D6" s="36" t="s">
        <v>2184</v>
      </c>
      <c r="E6" s="48">
        <v>4</v>
      </c>
      <c r="F6" s="36" t="s">
        <v>2184</v>
      </c>
      <c r="G6" s="48">
        <v>4</v>
      </c>
      <c r="H6" s="30" t="s">
        <v>26</v>
      </c>
      <c r="I6" s="48"/>
      <c r="J6" s="36" t="s">
        <v>2184</v>
      </c>
      <c r="K6" s="48">
        <v>4</v>
      </c>
      <c r="L6" s="38" t="s">
        <v>1360</v>
      </c>
      <c r="M6" s="61"/>
      <c r="N6" s="28" t="s">
        <v>17</v>
      </c>
      <c r="O6" s="31"/>
      <c r="P6" s="32">
        <f t="shared" si="0"/>
        <v>12</v>
      </c>
    </row>
    <row r="7" spans="1:16" ht="43.15">
      <c r="A7" s="27" t="s">
        <v>1793</v>
      </c>
      <c r="B7" s="30" t="s">
        <v>2185</v>
      </c>
      <c r="C7" s="48">
        <v>9.5</v>
      </c>
      <c r="D7" s="30" t="s">
        <v>2186</v>
      </c>
      <c r="E7" s="61">
        <v>4</v>
      </c>
      <c r="F7" s="30" t="s">
        <v>2187</v>
      </c>
      <c r="G7" s="48">
        <v>7</v>
      </c>
      <c r="H7" s="30" t="s">
        <v>2188</v>
      </c>
      <c r="I7" s="48">
        <v>6.5</v>
      </c>
      <c r="J7" s="30"/>
      <c r="K7" s="48"/>
      <c r="L7" s="30"/>
      <c r="M7" s="61"/>
      <c r="N7" s="28"/>
      <c r="O7" s="31"/>
      <c r="P7" s="32">
        <f t="shared" si="0"/>
        <v>27</v>
      </c>
    </row>
    <row r="8" spans="1:16">
      <c r="A8" s="27" t="s">
        <v>698</v>
      </c>
      <c r="B8" s="38"/>
      <c r="C8" s="48"/>
      <c r="D8" s="38"/>
      <c r="E8" s="48"/>
      <c r="F8" s="33" t="s">
        <v>1618</v>
      </c>
      <c r="G8" s="48">
        <v>9.5</v>
      </c>
      <c r="H8" s="30" t="s">
        <v>2189</v>
      </c>
      <c r="I8" s="48">
        <v>7</v>
      </c>
      <c r="J8" s="30" t="s">
        <v>2190</v>
      </c>
      <c r="K8" s="48">
        <v>6.5</v>
      </c>
      <c r="L8" s="38"/>
      <c r="M8" s="61"/>
      <c r="N8" s="28"/>
      <c r="O8" s="31"/>
      <c r="P8" s="32">
        <f t="shared" si="0"/>
        <v>23</v>
      </c>
    </row>
    <row r="9" spans="1:16" ht="28.9">
      <c r="A9" s="27" t="s">
        <v>214</v>
      </c>
      <c r="B9" s="38"/>
      <c r="C9" s="48"/>
      <c r="D9" s="33" t="s">
        <v>2191</v>
      </c>
      <c r="E9" s="48">
        <v>9.5</v>
      </c>
      <c r="F9" s="30" t="s">
        <v>2192</v>
      </c>
      <c r="G9" s="48">
        <v>8.5</v>
      </c>
      <c r="H9" s="33" t="s">
        <v>1561</v>
      </c>
      <c r="I9" s="48">
        <v>6.5</v>
      </c>
      <c r="J9" s="33" t="s">
        <v>1877</v>
      </c>
      <c r="K9" s="48">
        <v>7</v>
      </c>
      <c r="L9" s="37" t="s">
        <v>2193</v>
      </c>
      <c r="M9" s="18">
        <v>5</v>
      </c>
      <c r="N9" s="28"/>
      <c r="O9" s="31"/>
      <c r="P9" s="32">
        <f t="shared" si="0"/>
        <v>36.5</v>
      </c>
    </row>
    <row r="10" spans="1:16" ht="28.9">
      <c r="A10" s="27" t="s">
        <v>1444</v>
      </c>
      <c r="B10" s="33" t="s">
        <v>2194</v>
      </c>
      <c r="C10" s="48">
        <v>7.5</v>
      </c>
      <c r="D10" s="30" t="s">
        <v>1665</v>
      </c>
      <c r="E10" s="48">
        <v>7.5</v>
      </c>
      <c r="F10" s="38"/>
      <c r="G10" s="48"/>
      <c r="H10" s="30"/>
      <c r="I10" s="48"/>
      <c r="J10" s="30"/>
      <c r="K10" s="48"/>
      <c r="L10" s="90" t="s">
        <v>2195</v>
      </c>
      <c r="M10" s="18">
        <v>9</v>
      </c>
      <c r="N10" s="28"/>
      <c r="O10" s="31"/>
      <c r="P10" s="32">
        <f t="shared" si="0"/>
        <v>24</v>
      </c>
    </row>
    <row r="11" spans="1:16" ht="43.15">
      <c r="A11" s="27" t="s">
        <v>1468</v>
      </c>
      <c r="B11" s="36" t="s">
        <v>2163</v>
      </c>
      <c r="C11" s="48">
        <v>7.5</v>
      </c>
      <c r="D11" s="36" t="s">
        <v>2163</v>
      </c>
      <c r="E11" s="48">
        <v>7.5</v>
      </c>
      <c r="F11" s="38"/>
      <c r="G11" s="48"/>
      <c r="H11" s="30"/>
      <c r="I11" s="48"/>
      <c r="J11" s="30"/>
      <c r="K11" s="48"/>
      <c r="L11" s="36" t="s">
        <v>2196</v>
      </c>
      <c r="M11" s="47">
        <v>8</v>
      </c>
      <c r="N11" s="28"/>
      <c r="O11" s="31"/>
      <c r="P11" s="32">
        <f t="shared" si="0"/>
        <v>23</v>
      </c>
    </row>
    <row r="12" spans="1:16" ht="28.9">
      <c r="A12" s="27" t="s">
        <v>694</v>
      </c>
      <c r="B12" s="30" t="s">
        <v>2197</v>
      </c>
      <c r="C12" s="48">
        <v>3</v>
      </c>
      <c r="D12" s="38"/>
      <c r="E12" s="48"/>
      <c r="F12" s="36" t="s">
        <v>2166</v>
      </c>
      <c r="G12" s="48">
        <v>7</v>
      </c>
      <c r="H12" s="36" t="s">
        <v>2167</v>
      </c>
      <c r="I12" s="45">
        <v>7</v>
      </c>
      <c r="J12" s="36" t="s">
        <v>2166</v>
      </c>
      <c r="K12" s="48">
        <v>7</v>
      </c>
      <c r="L12" s="30"/>
      <c r="M12" s="61"/>
      <c r="N12" s="28"/>
      <c r="O12" s="31"/>
      <c r="P12" s="32">
        <f t="shared" si="0"/>
        <v>24</v>
      </c>
    </row>
    <row r="13" spans="1:16" ht="43.15">
      <c r="A13" s="27" t="s">
        <v>1461</v>
      </c>
      <c r="B13" s="44" t="s">
        <v>2198</v>
      </c>
      <c r="C13" s="48">
        <v>7</v>
      </c>
      <c r="D13" s="30"/>
      <c r="E13" s="48"/>
      <c r="F13" s="30" t="s">
        <v>2199</v>
      </c>
      <c r="G13" s="48">
        <v>3</v>
      </c>
      <c r="H13" s="44" t="s">
        <v>2170</v>
      </c>
      <c r="I13" s="48">
        <v>7</v>
      </c>
      <c r="J13" s="44" t="s">
        <v>2158</v>
      </c>
      <c r="K13" s="48">
        <v>7</v>
      </c>
      <c r="L13" s="38"/>
      <c r="M13" s="61"/>
      <c r="N13" s="28"/>
      <c r="O13" s="31"/>
      <c r="P13" s="32">
        <f t="shared" si="0"/>
        <v>24</v>
      </c>
    </row>
    <row r="14" spans="1:16" ht="28.9">
      <c r="A14" s="27" t="s">
        <v>1377</v>
      </c>
      <c r="B14" s="30" t="s">
        <v>2200</v>
      </c>
      <c r="C14" s="48">
        <v>3</v>
      </c>
      <c r="D14" s="30" t="s">
        <v>2201</v>
      </c>
      <c r="E14" s="48">
        <v>5</v>
      </c>
      <c r="F14" s="30" t="s">
        <v>2202</v>
      </c>
      <c r="G14" s="48">
        <v>3.5</v>
      </c>
      <c r="H14" s="30" t="s">
        <v>2203</v>
      </c>
      <c r="I14" s="48">
        <v>2.5</v>
      </c>
      <c r="J14" s="30" t="s">
        <v>2204</v>
      </c>
      <c r="K14" s="48">
        <v>5</v>
      </c>
      <c r="L14" s="30" t="s">
        <v>2205</v>
      </c>
      <c r="M14" s="61">
        <v>5</v>
      </c>
      <c r="N14" s="28"/>
      <c r="O14" s="31"/>
      <c r="P14" s="32">
        <f t="shared" si="0"/>
        <v>24</v>
      </c>
    </row>
    <row r="15" spans="1:16" ht="28.9">
      <c r="A15" s="27" t="s">
        <v>2206</v>
      </c>
      <c r="B15" s="30"/>
      <c r="C15" s="48"/>
      <c r="D15" s="44" t="s">
        <v>2158</v>
      </c>
      <c r="E15" s="48">
        <v>7</v>
      </c>
      <c r="F15" s="44" t="s">
        <v>2158</v>
      </c>
      <c r="G15" s="48">
        <v>7</v>
      </c>
      <c r="H15" s="30"/>
      <c r="I15" s="48"/>
      <c r="J15" s="30"/>
      <c r="K15" s="48"/>
      <c r="L15" s="30"/>
      <c r="M15" s="61"/>
      <c r="N15" s="28"/>
      <c r="O15" s="31"/>
      <c r="P15" s="32">
        <f t="shared" si="0"/>
        <v>14</v>
      </c>
    </row>
    <row r="16" spans="1:16" ht="43.15">
      <c r="A16" s="45" t="s">
        <v>1479</v>
      </c>
      <c r="B16" s="30" t="s">
        <v>2207</v>
      </c>
      <c r="C16" s="48">
        <v>7</v>
      </c>
      <c r="D16" s="30"/>
      <c r="E16" s="48"/>
      <c r="F16" s="30"/>
      <c r="G16" s="48"/>
      <c r="H16" s="30" t="s">
        <v>2208</v>
      </c>
      <c r="I16" s="48">
        <v>5</v>
      </c>
      <c r="J16" s="30" t="s">
        <v>2207</v>
      </c>
      <c r="K16" s="48">
        <v>7</v>
      </c>
      <c r="L16" s="30"/>
      <c r="M16" s="48"/>
      <c r="N16" s="28"/>
      <c r="O16" s="31"/>
      <c r="P16" s="32">
        <f t="shared" si="0"/>
        <v>19</v>
      </c>
    </row>
    <row r="17" spans="1:16" ht="43.15">
      <c r="A17" s="45" t="s">
        <v>2148</v>
      </c>
      <c r="B17" s="30"/>
      <c r="C17" s="48"/>
      <c r="D17" s="30" t="s">
        <v>2209</v>
      </c>
      <c r="E17" s="48">
        <v>7.5</v>
      </c>
      <c r="F17" s="30" t="s">
        <v>2209</v>
      </c>
      <c r="G17" s="48">
        <v>7.5</v>
      </c>
      <c r="H17" s="30"/>
      <c r="I17" s="48"/>
      <c r="J17" s="30"/>
      <c r="K17" s="48"/>
      <c r="L17" s="30"/>
      <c r="M17" s="61"/>
      <c r="N17" s="28"/>
      <c r="O17" s="31"/>
      <c r="P17" s="32">
        <f t="shared" si="0"/>
        <v>15</v>
      </c>
    </row>
    <row r="18" spans="1:16">
      <c r="A18" s="45" t="s">
        <v>2041</v>
      </c>
      <c r="B18" s="30"/>
      <c r="C18" s="48"/>
      <c r="D18" s="30"/>
      <c r="E18" s="48"/>
      <c r="F18" s="30"/>
      <c r="G18" s="48"/>
      <c r="H18" s="30"/>
      <c r="I18" s="48"/>
      <c r="J18" s="30"/>
      <c r="K18" s="48"/>
      <c r="L18" s="30"/>
      <c r="M18" s="61"/>
      <c r="N18" s="28"/>
      <c r="O18" s="31"/>
      <c r="P18" s="32">
        <f t="shared" si="0"/>
        <v>0</v>
      </c>
    </row>
    <row r="19" spans="1:16">
      <c r="A19" s="52" t="s">
        <v>95</v>
      </c>
      <c r="B19" s="3"/>
      <c r="C19" s="3">
        <f>SUM(C7:C18)</f>
        <v>44.5</v>
      </c>
      <c r="D19" s="3"/>
      <c r="E19" s="3">
        <f>SUM(E7:E18)</f>
        <v>48</v>
      </c>
      <c r="F19" s="3"/>
      <c r="G19" s="3">
        <f>SUM(G7:G18)</f>
        <v>53</v>
      </c>
      <c r="H19" s="3"/>
      <c r="I19" s="3">
        <f>SUM(I7:I18)</f>
        <v>41.5</v>
      </c>
      <c r="J19" s="3"/>
      <c r="K19" s="3">
        <f>SUM(K7:K18)</f>
        <v>39.5</v>
      </c>
      <c r="L19" s="3"/>
      <c r="M19" s="3">
        <f>SUM(M7:M18)</f>
        <v>27</v>
      </c>
      <c r="N19" s="3"/>
      <c r="O19" s="3">
        <f>SUM(O7:O18)</f>
        <v>0</v>
      </c>
      <c r="P19" s="53">
        <f>SUM(B19:O19)</f>
        <v>253.5</v>
      </c>
    </row>
    <row r="20" spans="1:16">
      <c r="C20">
        <f>C19*20</f>
        <v>890</v>
      </c>
      <c r="E20">
        <f>E19*20</f>
        <v>960</v>
      </c>
      <c r="G20">
        <f>G19*20</f>
        <v>1060</v>
      </c>
      <c r="I20">
        <f>I19*20</f>
        <v>830</v>
      </c>
      <c r="K20">
        <f>K19*20</f>
        <v>790</v>
      </c>
      <c r="M20">
        <f>M19*20</f>
        <v>540</v>
      </c>
      <c r="P20" s="91">
        <f>P19*20</f>
        <v>5070</v>
      </c>
    </row>
    <row r="22" spans="1:16">
      <c r="B22" s="449" t="s">
        <v>2210</v>
      </c>
      <c r="C22" s="449"/>
      <c r="D22" s="449"/>
      <c r="E22" s="449"/>
      <c r="F22" s="449"/>
    </row>
  </sheetData>
  <mergeCells count="1">
    <mergeCell ref="B22:F22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C5AB-F2DC-463F-A1A3-36A59C909B4A}">
  <sheetPr>
    <tabColor theme="9"/>
    <pageSetUpPr fitToPage="1"/>
  </sheetPr>
  <dimension ref="A1:Q21"/>
  <sheetViews>
    <sheetView zoomScale="60" zoomScaleNormal="60" workbookViewId="0">
      <selection activeCell="H5" sqref="H5"/>
    </sheetView>
  </sheetViews>
  <sheetFormatPr defaultRowHeight="14.45"/>
  <cols>
    <col min="1" max="2" width="17.42578125" customWidth="1"/>
    <col min="3" max="3" width="4.28515625" customWidth="1"/>
    <col min="4" max="4" width="20" customWidth="1"/>
    <col min="5" max="5" width="5.28515625" bestFit="1" customWidth="1"/>
    <col min="6" max="6" width="20.28515625" bestFit="1" customWidth="1"/>
    <col min="7" max="7" width="5.28515625" bestFit="1" customWidth="1"/>
    <col min="8" max="8" width="20.85546875" bestFit="1" customWidth="1"/>
    <col min="9" max="9" width="5.28515625" bestFit="1" customWidth="1"/>
    <col min="10" max="10" width="20.85546875" bestFit="1" customWidth="1"/>
    <col min="11" max="11" width="4.42578125" customWidth="1"/>
    <col min="12" max="12" width="14.42578125" bestFit="1" customWidth="1"/>
    <col min="13" max="13" width="4.7109375" bestFit="1" customWidth="1"/>
    <col min="14" max="14" width="7.140625" bestFit="1" customWidth="1"/>
    <col min="15" max="15" width="4" customWidth="1"/>
    <col min="16" max="16" width="10.28515625" bestFit="1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45901</v>
      </c>
      <c r="C2" s="6"/>
      <c r="D2" s="5">
        <v>45902</v>
      </c>
      <c r="E2" s="6"/>
      <c r="F2" s="5">
        <v>45903</v>
      </c>
      <c r="G2" s="6"/>
      <c r="H2" s="5">
        <v>45904</v>
      </c>
      <c r="I2" s="6"/>
      <c r="J2" s="5">
        <v>45905</v>
      </c>
      <c r="K2" s="6"/>
      <c r="L2" s="5">
        <v>45906</v>
      </c>
      <c r="M2" s="6"/>
      <c r="N2" s="5">
        <v>45907</v>
      </c>
      <c r="O2" s="7"/>
      <c r="P2" s="3"/>
    </row>
    <row r="3" spans="1:16" ht="63" customHeight="1">
      <c r="A3" s="8" t="s">
        <v>9</v>
      </c>
      <c r="B3" s="9" t="s">
        <v>2211</v>
      </c>
      <c r="C3" s="64"/>
      <c r="D3" s="9" t="s">
        <v>2212</v>
      </c>
      <c r="E3" s="64"/>
      <c r="F3" s="9" t="s">
        <v>2213</v>
      </c>
      <c r="G3" s="65"/>
      <c r="H3" s="9" t="s">
        <v>2214</v>
      </c>
      <c r="I3" s="64"/>
      <c r="J3" s="12" t="s">
        <v>2215</v>
      </c>
      <c r="K3" s="64"/>
      <c r="L3" s="9"/>
      <c r="M3" s="18"/>
      <c r="N3" s="14"/>
      <c r="O3" s="20"/>
      <c r="P3" s="3"/>
    </row>
    <row r="4" spans="1:16" ht="28.9">
      <c r="A4" s="16" t="s">
        <v>14</v>
      </c>
      <c r="B4" s="19" t="s">
        <v>339</v>
      </c>
      <c r="C4" s="18">
        <v>8</v>
      </c>
      <c r="D4" s="19" t="s">
        <v>16</v>
      </c>
      <c r="E4" s="18">
        <v>8</v>
      </c>
      <c r="F4" s="19" t="s">
        <v>16</v>
      </c>
      <c r="G4" s="18">
        <v>8</v>
      </c>
      <c r="H4" s="19" t="s">
        <v>16</v>
      </c>
      <c r="I4" s="18">
        <v>8</v>
      </c>
      <c r="J4" s="19" t="s">
        <v>2216</v>
      </c>
      <c r="K4" s="18">
        <v>8</v>
      </c>
      <c r="L4" s="19" t="s">
        <v>17</v>
      </c>
      <c r="M4" s="18"/>
      <c r="N4" s="18" t="s">
        <v>17</v>
      </c>
      <c r="O4" s="18"/>
      <c r="P4" s="3">
        <f t="shared" ref="P4:P15" si="0">SUM(O4,M4,K4,I4,G4,E4,C4)</f>
        <v>40</v>
      </c>
    </row>
    <row r="5" spans="1:16" ht="43.15">
      <c r="A5" s="22" t="s">
        <v>18</v>
      </c>
      <c r="B5" s="26" t="s">
        <v>339</v>
      </c>
      <c r="C5" s="48">
        <v>8</v>
      </c>
      <c r="D5" s="25" t="s">
        <v>2217</v>
      </c>
      <c r="E5" s="48">
        <v>9</v>
      </c>
      <c r="F5" s="26" t="s">
        <v>129</v>
      </c>
      <c r="G5" s="48">
        <v>7</v>
      </c>
      <c r="H5" s="26" t="s">
        <v>2218</v>
      </c>
      <c r="I5" s="48">
        <v>8</v>
      </c>
      <c r="J5" s="26" t="s">
        <v>2219</v>
      </c>
      <c r="K5" s="48">
        <v>8</v>
      </c>
      <c r="L5" s="24"/>
      <c r="M5" s="51"/>
      <c r="N5" s="24"/>
      <c r="O5" s="18"/>
      <c r="P5" s="3">
        <f t="shared" si="0"/>
        <v>40</v>
      </c>
    </row>
    <row r="6" spans="1:16">
      <c r="A6" s="27" t="s">
        <v>1873</v>
      </c>
      <c r="B6" s="30"/>
      <c r="C6" s="48"/>
      <c r="D6" s="36" t="s">
        <v>2220</v>
      </c>
      <c r="E6" s="48">
        <v>4</v>
      </c>
      <c r="F6" s="30" t="s">
        <v>26</v>
      </c>
      <c r="G6" s="48"/>
      <c r="H6" s="36" t="s">
        <v>2221</v>
      </c>
      <c r="I6" s="48">
        <v>4</v>
      </c>
      <c r="J6" s="36" t="s">
        <v>2222</v>
      </c>
      <c r="K6" s="48">
        <v>4</v>
      </c>
      <c r="L6" s="30" t="s">
        <v>1360</v>
      </c>
      <c r="M6" s="48"/>
      <c r="N6" s="30" t="s">
        <v>17</v>
      </c>
      <c r="O6" s="18"/>
      <c r="P6" s="32">
        <f t="shared" si="0"/>
        <v>12</v>
      </c>
    </row>
    <row r="7" spans="1:16" ht="31.5" customHeight="1">
      <c r="A7" s="27" t="s">
        <v>1793</v>
      </c>
      <c r="B7" s="30"/>
      <c r="C7" s="48"/>
      <c r="D7" s="30" t="s">
        <v>2223</v>
      </c>
      <c r="E7" s="48">
        <v>8.5</v>
      </c>
      <c r="F7" s="37" t="s">
        <v>2224</v>
      </c>
      <c r="G7" s="18">
        <v>8.5</v>
      </c>
      <c r="H7" s="33" t="s">
        <v>2225</v>
      </c>
      <c r="I7" s="48">
        <v>7</v>
      </c>
      <c r="J7" s="30"/>
      <c r="K7" s="48"/>
      <c r="L7" s="30"/>
      <c r="M7" s="48"/>
      <c r="N7" s="30"/>
      <c r="O7" s="18"/>
      <c r="P7" s="32">
        <f>SUM(O7,M7,K7,I7,G7,E7,C7)</f>
        <v>24</v>
      </c>
    </row>
    <row r="8" spans="1:16">
      <c r="A8" s="27" t="s">
        <v>698</v>
      </c>
      <c r="B8" s="38"/>
      <c r="C8" s="48"/>
      <c r="D8" s="38"/>
      <c r="E8" s="48"/>
      <c r="F8" s="83" t="s">
        <v>2226</v>
      </c>
      <c r="G8" s="18">
        <v>7.5</v>
      </c>
      <c r="H8" s="30" t="s">
        <v>2227</v>
      </c>
      <c r="I8" s="48">
        <v>7.5</v>
      </c>
      <c r="J8" s="30" t="s">
        <v>2228</v>
      </c>
      <c r="K8" s="48">
        <v>7.5</v>
      </c>
      <c r="L8" s="38"/>
      <c r="M8" s="48"/>
      <c r="N8" s="30"/>
      <c r="O8" s="18"/>
      <c r="P8" s="32">
        <f t="shared" si="0"/>
        <v>22.5</v>
      </c>
    </row>
    <row r="9" spans="1:16" ht="28.9">
      <c r="A9" s="27" t="s">
        <v>214</v>
      </c>
      <c r="B9" s="30"/>
      <c r="C9" s="48"/>
      <c r="D9" s="30" t="s">
        <v>2229</v>
      </c>
      <c r="E9" s="48">
        <v>7</v>
      </c>
      <c r="F9" s="83" t="s">
        <v>2230</v>
      </c>
      <c r="G9" s="18">
        <v>7.5</v>
      </c>
      <c r="H9" s="30"/>
      <c r="I9" s="48"/>
      <c r="J9" s="30" t="s">
        <v>2231</v>
      </c>
      <c r="K9" s="48">
        <v>5.5</v>
      </c>
      <c r="L9" s="30" t="s">
        <v>2232</v>
      </c>
      <c r="M9" s="48">
        <v>4</v>
      </c>
      <c r="N9" s="30"/>
      <c r="O9" s="18"/>
      <c r="P9" s="32">
        <f t="shared" si="0"/>
        <v>24</v>
      </c>
    </row>
    <row r="10" spans="1:16" ht="43.15">
      <c r="A10" s="27" t="s">
        <v>1444</v>
      </c>
      <c r="B10" s="30"/>
      <c r="C10" s="48"/>
      <c r="D10" s="37" t="s">
        <v>2233</v>
      </c>
      <c r="E10" s="18">
        <v>10</v>
      </c>
      <c r="F10" s="36"/>
      <c r="G10" s="18"/>
      <c r="H10" s="30" t="s">
        <v>2234</v>
      </c>
      <c r="I10" s="48">
        <v>6.5</v>
      </c>
      <c r="J10" s="30"/>
      <c r="K10" s="48"/>
      <c r="L10" s="30" t="s">
        <v>2235</v>
      </c>
      <c r="M10" s="48">
        <v>7.5</v>
      </c>
      <c r="N10" s="30"/>
      <c r="O10" s="18"/>
      <c r="P10" s="32">
        <f t="shared" si="0"/>
        <v>24</v>
      </c>
    </row>
    <row r="11" spans="1:16" ht="28.9">
      <c r="A11" s="27" t="s">
        <v>1468</v>
      </c>
      <c r="B11" s="30"/>
      <c r="C11" s="48"/>
      <c r="D11" s="36" t="s">
        <v>2236</v>
      </c>
      <c r="E11" s="48">
        <v>9</v>
      </c>
      <c r="F11" s="36" t="s">
        <v>2237</v>
      </c>
      <c r="G11" s="48">
        <v>7.5</v>
      </c>
      <c r="H11" s="30" t="s">
        <v>2238</v>
      </c>
      <c r="I11" s="48">
        <v>7.5</v>
      </c>
      <c r="J11" s="30"/>
      <c r="K11" s="48"/>
      <c r="L11" s="30"/>
      <c r="M11" s="48"/>
      <c r="N11" s="30"/>
      <c r="O11" s="18"/>
      <c r="P11" s="32">
        <f t="shared" si="0"/>
        <v>24</v>
      </c>
    </row>
    <row r="12" spans="1:16" ht="28.9">
      <c r="A12" s="27" t="s">
        <v>694</v>
      </c>
      <c r="B12" s="30"/>
      <c r="C12" s="48"/>
      <c r="D12" s="44"/>
      <c r="E12" s="48"/>
      <c r="F12" s="36" t="s">
        <v>2239</v>
      </c>
      <c r="G12" s="48">
        <v>7.5</v>
      </c>
      <c r="H12" s="36" t="s">
        <v>2240</v>
      </c>
      <c r="I12" s="45">
        <v>8</v>
      </c>
      <c r="J12" s="36" t="s">
        <v>2240</v>
      </c>
      <c r="K12" s="45">
        <v>8</v>
      </c>
      <c r="L12" s="30"/>
      <c r="M12" s="48"/>
      <c r="N12" s="30"/>
      <c r="O12" s="18"/>
      <c r="P12" s="32">
        <f t="shared" si="0"/>
        <v>23.5</v>
      </c>
    </row>
    <row r="13" spans="1:16" ht="28.9">
      <c r="A13" s="27" t="s">
        <v>1461</v>
      </c>
      <c r="B13" s="30"/>
      <c r="C13" s="48"/>
      <c r="D13" s="44" t="s">
        <v>2241</v>
      </c>
      <c r="E13" s="48">
        <v>5.5</v>
      </c>
      <c r="F13" s="30"/>
      <c r="G13" s="18"/>
      <c r="H13" s="44" t="s">
        <v>2242</v>
      </c>
      <c r="I13" s="48">
        <v>7.5</v>
      </c>
      <c r="J13" s="44" t="s">
        <v>2242</v>
      </c>
      <c r="K13" s="48">
        <v>7.5</v>
      </c>
      <c r="L13" s="36" t="s">
        <v>2243</v>
      </c>
      <c r="M13" s="48">
        <v>3.5</v>
      </c>
      <c r="N13" s="30"/>
      <c r="O13" s="18"/>
      <c r="P13" s="32">
        <f t="shared" si="0"/>
        <v>24</v>
      </c>
    </row>
    <row r="14" spans="1:16" ht="28.9">
      <c r="A14" s="27" t="s">
        <v>1377</v>
      </c>
      <c r="B14" s="30"/>
      <c r="C14" s="48"/>
      <c r="D14" s="30" t="s">
        <v>2244</v>
      </c>
      <c r="E14" s="48">
        <v>3</v>
      </c>
      <c r="F14" s="30" t="s">
        <v>2245</v>
      </c>
      <c r="G14" s="18">
        <v>5</v>
      </c>
      <c r="H14" s="30"/>
      <c r="I14" s="48"/>
      <c r="J14" s="30" t="s">
        <v>2246</v>
      </c>
      <c r="K14" s="48">
        <v>5</v>
      </c>
      <c r="L14" s="36" t="s">
        <v>2247</v>
      </c>
      <c r="M14" s="48">
        <v>9.5</v>
      </c>
      <c r="N14" s="30"/>
      <c r="O14" s="18"/>
      <c r="P14" s="32">
        <f t="shared" si="0"/>
        <v>22.5</v>
      </c>
    </row>
    <row r="15" spans="1:16" ht="45" customHeight="1">
      <c r="A15" s="45" t="s">
        <v>1479</v>
      </c>
      <c r="B15" s="84"/>
      <c r="C15" s="82"/>
      <c r="D15" s="82" t="s">
        <v>2248</v>
      </c>
      <c r="E15" s="82">
        <v>7.5</v>
      </c>
      <c r="F15" s="85" t="s">
        <v>2249</v>
      </c>
      <c r="G15" s="82">
        <v>5.5</v>
      </c>
      <c r="H15" s="82" t="s">
        <v>2250</v>
      </c>
      <c r="I15" s="82">
        <v>7.5</v>
      </c>
      <c r="J15" s="84" t="s">
        <v>2251</v>
      </c>
      <c r="K15" s="82">
        <v>3.5</v>
      </c>
      <c r="L15" s="82"/>
      <c r="M15" s="45"/>
      <c r="N15" s="45"/>
      <c r="O15" s="18"/>
      <c r="P15" s="3">
        <f t="shared" si="0"/>
        <v>24</v>
      </c>
    </row>
    <row r="16" spans="1:16">
      <c r="A16" s="45" t="s">
        <v>2148</v>
      </c>
      <c r="B16" s="84"/>
      <c r="C16" s="82"/>
      <c r="D16" s="82" t="s">
        <v>2248</v>
      </c>
      <c r="E16" s="82">
        <v>7.5</v>
      </c>
      <c r="F16" s="85" t="s">
        <v>2252</v>
      </c>
      <c r="G16" s="82">
        <v>5</v>
      </c>
      <c r="H16" s="82"/>
      <c r="I16" s="82"/>
      <c r="J16" s="84"/>
      <c r="K16" s="82"/>
      <c r="L16" s="82"/>
      <c r="M16" s="45"/>
      <c r="N16" s="45"/>
      <c r="O16" s="20"/>
      <c r="P16" s="3">
        <f>SUM(O16,M16,K16,I16,G16,E16,C16)</f>
        <v>12.5</v>
      </c>
    </row>
    <row r="17" spans="1:17">
      <c r="A17" s="45" t="s">
        <v>2041</v>
      </c>
      <c r="B17" s="82"/>
      <c r="C17" s="18"/>
      <c r="D17" s="82"/>
      <c r="E17" s="18"/>
      <c r="F17" s="82"/>
      <c r="G17" s="18"/>
      <c r="H17" s="82"/>
      <c r="I17" s="18"/>
      <c r="J17" s="82"/>
      <c r="K17" s="18"/>
      <c r="L17" s="18"/>
      <c r="M17" s="51"/>
      <c r="N17" s="48"/>
      <c r="O17" s="20"/>
      <c r="P17" s="3">
        <f>SUM(O17,M17,K17,I17,G17,E17,C17)</f>
        <v>0</v>
      </c>
    </row>
    <row r="18" spans="1:17" ht="28.9">
      <c r="A18" s="52" t="s">
        <v>95</v>
      </c>
      <c r="B18" s="3"/>
      <c r="C18" s="86">
        <f>SUM(C7:C17)</f>
        <v>0</v>
      </c>
      <c r="D18" s="3"/>
      <c r="E18" s="86">
        <f>SUM(E7:E17)</f>
        <v>58</v>
      </c>
      <c r="F18" s="3"/>
      <c r="G18" s="86">
        <f>SUM(G7:G17)</f>
        <v>54</v>
      </c>
      <c r="H18" s="3"/>
      <c r="I18" s="86">
        <f>SUM(I7:I17)</f>
        <v>51.5</v>
      </c>
      <c r="J18" s="3"/>
      <c r="K18" s="86">
        <f>SUM(K7:K17)</f>
        <v>37</v>
      </c>
      <c r="L18" s="3"/>
      <c r="M18" s="86">
        <f>SUM(M7:M17)</f>
        <v>24.5</v>
      </c>
      <c r="N18" s="3"/>
      <c r="O18" s="86">
        <f>SUM(O15:O17)</f>
        <v>0</v>
      </c>
      <c r="P18" s="53">
        <f>SUM(P15:P17)</f>
        <v>36.5</v>
      </c>
      <c r="Q18">
        <f>P18*20</f>
        <v>730</v>
      </c>
    </row>
    <row r="19" spans="1:17">
      <c r="C19">
        <f>C18*20</f>
        <v>0</v>
      </c>
      <c r="E19">
        <f>E18*20</f>
        <v>1160</v>
      </c>
      <c r="G19">
        <f>G18*20</f>
        <v>1080</v>
      </c>
      <c r="I19">
        <f>I18*20</f>
        <v>1030</v>
      </c>
      <c r="K19">
        <f>K18*20</f>
        <v>740</v>
      </c>
      <c r="M19">
        <f>M18*20</f>
        <v>490</v>
      </c>
    </row>
    <row r="21" spans="1:17">
      <c r="B21" s="449" t="s">
        <v>2042</v>
      </c>
      <c r="C21" s="449"/>
      <c r="D21" s="449"/>
      <c r="E21" s="449"/>
      <c r="F21" s="449"/>
    </row>
  </sheetData>
  <mergeCells count="1">
    <mergeCell ref="B21:F21"/>
  </mergeCells>
  <pageMargins left="0.25" right="0.25" top="0.75" bottom="0.75" header="0.3" footer="0.3"/>
  <pageSetup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AE0D-2CD2-40CE-83D7-4DF56AE197D9}">
  <sheetPr>
    <tabColor theme="9"/>
  </sheetPr>
  <dimension ref="A1:Q23"/>
  <sheetViews>
    <sheetView zoomScale="60" zoomScaleNormal="60" zoomScaleSheetLayoutView="100" workbookViewId="0">
      <selection activeCell="L18" sqref="L18"/>
    </sheetView>
  </sheetViews>
  <sheetFormatPr defaultColWidth="8.85546875" defaultRowHeight="14.45"/>
  <cols>
    <col min="1" max="1" width="13" customWidth="1"/>
    <col min="2" max="2" width="17.42578125" customWidth="1"/>
    <col min="3" max="3" width="5.5703125" customWidth="1"/>
    <col min="4" max="4" width="20" customWidth="1"/>
    <col min="5" max="5" width="6.28515625" customWidth="1"/>
    <col min="6" max="6" width="20.28515625" bestFit="1" customWidth="1"/>
    <col min="7" max="7" width="5.5703125" customWidth="1"/>
    <col min="8" max="8" width="20.85546875" bestFit="1" customWidth="1"/>
    <col min="9" max="9" width="5.5703125" customWidth="1"/>
    <col min="10" max="10" width="21" bestFit="1" customWidth="1"/>
    <col min="11" max="11" width="6.28515625" customWidth="1"/>
    <col min="12" max="12" width="19" customWidth="1"/>
    <col min="13" max="13" width="4.5703125" bestFit="1" customWidth="1"/>
    <col min="14" max="14" width="7.140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45894</v>
      </c>
      <c r="C2" s="6"/>
      <c r="D2" s="5">
        <v>45895</v>
      </c>
      <c r="E2" s="6"/>
      <c r="F2" s="5">
        <v>45896</v>
      </c>
      <c r="G2" s="6"/>
      <c r="H2" s="5">
        <v>45897</v>
      </c>
      <c r="I2" s="6"/>
      <c r="J2" s="5">
        <v>45898</v>
      </c>
      <c r="K2" s="6"/>
      <c r="L2" s="5">
        <v>45899</v>
      </c>
      <c r="M2" s="6"/>
      <c r="N2" s="5">
        <v>45900</v>
      </c>
      <c r="O2" s="7"/>
      <c r="P2" s="3"/>
    </row>
    <row r="3" spans="1:16" ht="60">
      <c r="A3" s="8" t="s">
        <v>9</v>
      </c>
      <c r="B3" s="9" t="s">
        <v>2253</v>
      </c>
      <c r="C3" s="64"/>
      <c r="D3" s="9" t="s">
        <v>2253</v>
      </c>
      <c r="E3" s="64"/>
      <c r="F3" s="9" t="s">
        <v>2254</v>
      </c>
      <c r="G3" s="65"/>
      <c r="H3" s="9" t="s">
        <v>2255</v>
      </c>
      <c r="I3" s="64"/>
      <c r="J3" s="9" t="s">
        <v>2256</v>
      </c>
      <c r="K3" s="64"/>
      <c r="L3" s="9" t="s">
        <v>2257</v>
      </c>
      <c r="M3" s="18"/>
      <c r="N3" s="18"/>
      <c r="O3" s="15"/>
      <c r="P3" s="3"/>
    </row>
    <row r="4" spans="1:16" ht="28.9">
      <c r="A4" s="16" t="s">
        <v>2258</v>
      </c>
      <c r="B4" s="17" t="s">
        <v>1246</v>
      </c>
      <c r="C4" s="18">
        <v>10</v>
      </c>
      <c r="D4" s="17" t="s">
        <v>344</v>
      </c>
      <c r="E4" s="18">
        <v>8.5</v>
      </c>
      <c r="F4" s="19" t="s">
        <v>2259</v>
      </c>
      <c r="G4" s="18">
        <v>10</v>
      </c>
      <c r="H4" s="19" t="s">
        <v>204</v>
      </c>
      <c r="I4" s="18">
        <v>11</v>
      </c>
      <c r="J4" s="19" t="s">
        <v>2260</v>
      </c>
      <c r="K4" s="18">
        <v>4</v>
      </c>
      <c r="L4" s="19" t="s">
        <v>17</v>
      </c>
      <c r="M4" s="18"/>
      <c r="N4" s="18" t="s">
        <v>17</v>
      </c>
      <c r="O4" s="20"/>
      <c r="P4" s="3">
        <f t="shared" ref="P4:P21" si="0">SUM(O4,M4,K4,I4,G4,E4,C4)</f>
        <v>43.5</v>
      </c>
    </row>
    <row r="5" spans="1:16" ht="43.15">
      <c r="A5" s="22" t="s">
        <v>2261</v>
      </c>
      <c r="B5" s="21" t="s">
        <v>2262</v>
      </c>
      <c r="C5" s="48">
        <v>8</v>
      </c>
      <c r="D5" s="21" t="s">
        <v>2263</v>
      </c>
      <c r="E5" s="48">
        <v>8</v>
      </c>
      <c r="F5" s="21" t="s">
        <v>2264</v>
      </c>
      <c r="G5" s="48">
        <v>8</v>
      </c>
      <c r="H5" s="21" t="s">
        <v>2265</v>
      </c>
      <c r="I5" s="48">
        <v>8</v>
      </c>
      <c r="J5" s="23" t="s">
        <v>2266</v>
      </c>
      <c r="K5" s="48">
        <v>8</v>
      </c>
      <c r="L5" s="21"/>
      <c r="M5" s="51"/>
      <c r="N5" s="48"/>
      <c r="O5" s="18"/>
      <c r="P5" s="3">
        <f t="shared" si="0"/>
        <v>40</v>
      </c>
    </row>
    <row r="6" spans="1:16" ht="28.9">
      <c r="A6" s="27" t="s">
        <v>1873</v>
      </c>
      <c r="B6" s="35" t="s">
        <v>26</v>
      </c>
      <c r="C6" s="61"/>
      <c r="D6" s="66" t="s">
        <v>2267</v>
      </c>
      <c r="E6" s="61">
        <v>3</v>
      </c>
      <c r="F6" s="66" t="s">
        <v>2268</v>
      </c>
      <c r="G6" s="61">
        <v>3</v>
      </c>
      <c r="H6" s="66" t="s">
        <v>2269</v>
      </c>
      <c r="I6" s="61">
        <v>4</v>
      </c>
      <c r="J6" s="28"/>
      <c r="K6" s="67"/>
      <c r="L6" s="30" t="s">
        <v>26</v>
      </c>
      <c r="M6" s="61"/>
      <c r="N6" s="61" t="s">
        <v>17</v>
      </c>
      <c r="O6" s="31"/>
      <c r="P6" s="32">
        <f t="shared" si="0"/>
        <v>10</v>
      </c>
    </row>
    <row r="7" spans="1:16">
      <c r="A7" s="33" t="s">
        <v>2270</v>
      </c>
      <c r="B7" s="54" t="s">
        <v>2271</v>
      </c>
      <c r="C7" s="48">
        <v>7.5</v>
      </c>
      <c r="D7" s="54" t="s">
        <v>2271</v>
      </c>
      <c r="E7" s="48">
        <v>7.5</v>
      </c>
      <c r="F7" s="54"/>
      <c r="G7" s="48"/>
      <c r="H7" s="54" t="s">
        <v>2271</v>
      </c>
      <c r="I7" s="48">
        <v>7.5</v>
      </c>
      <c r="J7" s="54" t="s">
        <v>2271</v>
      </c>
      <c r="K7" s="48">
        <v>7.5</v>
      </c>
      <c r="L7" s="68"/>
      <c r="M7" s="48"/>
      <c r="N7" s="48"/>
      <c r="O7" s="20"/>
      <c r="P7" s="3">
        <f t="shared" si="0"/>
        <v>30</v>
      </c>
    </row>
    <row r="8" spans="1:16" ht="28.9">
      <c r="A8" s="33" t="s">
        <v>1377</v>
      </c>
      <c r="B8" s="33"/>
      <c r="C8" s="48"/>
      <c r="D8" s="30" t="s">
        <v>2272</v>
      </c>
      <c r="E8" s="48">
        <v>8</v>
      </c>
      <c r="F8" s="54" t="s">
        <v>2273</v>
      </c>
      <c r="G8" s="48">
        <v>5.5</v>
      </c>
      <c r="H8" s="54" t="s">
        <v>2274</v>
      </c>
      <c r="I8" s="48">
        <v>8</v>
      </c>
      <c r="J8" s="54"/>
      <c r="K8" s="48"/>
      <c r="L8" s="30"/>
      <c r="M8" s="47"/>
      <c r="N8" s="48"/>
      <c r="O8" s="20"/>
      <c r="P8" s="3">
        <f t="shared" si="0"/>
        <v>21.5</v>
      </c>
    </row>
    <row r="9" spans="1:16">
      <c r="A9" s="33" t="s">
        <v>1444</v>
      </c>
      <c r="B9" s="30" t="s">
        <v>1675</v>
      </c>
      <c r="C9" s="48">
        <v>7.5</v>
      </c>
      <c r="D9" s="30" t="s">
        <v>1779</v>
      </c>
      <c r="E9" s="48">
        <v>3</v>
      </c>
      <c r="F9" s="30" t="s">
        <v>2275</v>
      </c>
      <c r="G9" s="48">
        <v>5</v>
      </c>
      <c r="H9" s="30" t="s">
        <v>1673</v>
      </c>
      <c r="I9" s="48">
        <v>3</v>
      </c>
      <c r="J9" s="30" t="s">
        <v>1779</v>
      </c>
      <c r="K9" s="48">
        <v>3</v>
      </c>
      <c r="L9" s="43" t="s">
        <v>2276</v>
      </c>
      <c r="M9" s="48">
        <v>3.5</v>
      </c>
      <c r="N9" s="48"/>
      <c r="O9" s="20"/>
      <c r="P9" s="3">
        <f t="shared" si="0"/>
        <v>25</v>
      </c>
    </row>
    <row r="10" spans="1:16" ht="28.9">
      <c r="A10" s="33" t="s">
        <v>214</v>
      </c>
      <c r="B10" s="69"/>
      <c r="C10" s="48"/>
      <c r="D10" s="30"/>
      <c r="E10" s="48"/>
      <c r="F10" s="30" t="s">
        <v>2277</v>
      </c>
      <c r="G10" s="48">
        <v>8</v>
      </c>
      <c r="H10" s="30" t="s">
        <v>1675</v>
      </c>
      <c r="I10" s="48">
        <v>8</v>
      </c>
      <c r="J10" s="54" t="s">
        <v>2274</v>
      </c>
      <c r="K10" s="48">
        <v>8</v>
      </c>
      <c r="L10" s="70" t="s">
        <v>26</v>
      </c>
      <c r="M10" s="48"/>
      <c r="N10" s="48"/>
      <c r="O10" s="20"/>
      <c r="P10" s="3">
        <f t="shared" si="0"/>
        <v>24</v>
      </c>
    </row>
    <row r="11" spans="1:16">
      <c r="A11" s="33" t="s">
        <v>698</v>
      </c>
      <c r="B11" s="54" t="s">
        <v>2274</v>
      </c>
      <c r="C11" s="48">
        <v>8</v>
      </c>
      <c r="D11" s="54" t="s">
        <v>2274</v>
      </c>
      <c r="E11" s="48">
        <v>8</v>
      </c>
      <c r="F11" s="54" t="s">
        <v>2278</v>
      </c>
      <c r="G11" s="48">
        <v>5.5</v>
      </c>
      <c r="H11" s="30"/>
      <c r="I11" s="48"/>
      <c r="J11" s="28"/>
      <c r="K11" s="48"/>
      <c r="L11" s="71"/>
      <c r="M11" s="48"/>
      <c r="N11" s="48"/>
      <c r="O11" s="20"/>
      <c r="P11" s="3">
        <f t="shared" si="0"/>
        <v>21.5</v>
      </c>
    </row>
    <row r="12" spans="1:16">
      <c r="A12" s="33" t="s">
        <v>2279</v>
      </c>
      <c r="B12" s="28" t="s">
        <v>1665</v>
      </c>
      <c r="C12" s="47">
        <v>7.5</v>
      </c>
      <c r="D12" s="33"/>
      <c r="E12" s="47"/>
      <c r="F12" s="30"/>
      <c r="G12" s="48"/>
      <c r="H12" s="28"/>
      <c r="I12" s="47"/>
      <c r="J12" s="28" t="s">
        <v>1665</v>
      </c>
      <c r="K12" s="47">
        <v>7.5</v>
      </c>
      <c r="L12" s="30" t="s">
        <v>2280</v>
      </c>
      <c r="M12" s="51">
        <v>8</v>
      </c>
      <c r="N12" s="48"/>
      <c r="O12" s="20"/>
      <c r="P12" s="3">
        <f t="shared" si="0"/>
        <v>23</v>
      </c>
    </row>
    <row r="13" spans="1:16" ht="28.9">
      <c r="A13" s="33" t="s">
        <v>2206</v>
      </c>
      <c r="B13" s="23" t="s">
        <v>2281</v>
      </c>
      <c r="C13" s="48">
        <v>5.5</v>
      </c>
      <c r="D13" s="55"/>
      <c r="E13" s="47"/>
      <c r="F13" s="23" t="s">
        <v>2282</v>
      </c>
      <c r="G13" s="48">
        <v>7.5</v>
      </c>
      <c r="H13" s="72" t="s">
        <v>2283</v>
      </c>
      <c r="I13" s="73">
        <v>5.5</v>
      </c>
      <c r="J13" s="44" t="s">
        <v>2284</v>
      </c>
      <c r="K13" s="48">
        <v>5.5</v>
      </c>
      <c r="L13" s="42"/>
      <c r="M13" s="51"/>
      <c r="N13" s="48"/>
      <c r="O13" s="20"/>
      <c r="P13" s="3">
        <f t="shared" si="0"/>
        <v>24</v>
      </c>
    </row>
    <row r="14" spans="1:16">
      <c r="A14" s="33" t="s">
        <v>1468</v>
      </c>
      <c r="B14" s="36" t="s">
        <v>2285</v>
      </c>
      <c r="C14" s="47">
        <v>7.5</v>
      </c>
      <c r="D14" s="72" t="s">
        <v>2286</v>
      </c>
      <c r="E14" s="73">
        <v>7.5</v>
      </c>
      <c r="F14" s="36" t="s">
        <v>2287</v>
      </c>
      <c r="G14" s="47">
        <v>7.5</v>
      </c>
      <c r="H14" s="44"/>
      <c r="I14" s="48"/>
      <c r="J14" s="36" t="s">
        <v>1562</v>
      </c>
      <c r="K14" s="47">
        <v>5</v>
      </c>
      <c r="L14" s="36" t="s">
        <v>1562</v>
      </c>
      <c r="M14" s="47">
        <v>5</v>
      </c>
      <c r="N14" s="48"/>
      <c r="O14" s="20"/>
      <c r="P14" s="3">
        <f t="shared" si="0"/>
        <v>32.5</v>
      </c>
    </row>
    <row r="15" spans="1:16">
      <c r="A15" s="33" t="s">
        <v>2288</v>
      </c>
      <c r="B15" s="42"/>
      <c r="C15" s="48"/>
      <c r="D15" s="36" t="s">
        <v>2289</v>
      </c>
      <c r="E15" s="47">
        <v>7.5</v>
      </c>
      <c r="F15" s="42"/>
      <c r="G15" s="48"/>
      <c r="H15" s="36" t="s">
        <v>2290</v>
      </c>
      <c r="I15" s="47">
        <v>8.5</v>
      </c>
      <c r="J15" s="42"/>
      <c r="K15" s="48"/>
      <c r="L15" s="36" t="s">
        <v>2291</v>
      </c>
      <c r="M15" s="48">
        <v>6.5</v>
      </c>
      <c r="N15" s="48"/>
      <c r="O15" s="20"/>
      <c r="P15" s="3">
        <f t="shared" si="0"/>
        <v>22.5</v>
      </c>
    </row>
    <row r="16" spans="1:16" ht="43.15">
      <c r="A16" s="33" t="s">
        <v>2292</v>
      </c>
      <c r="B16" s="36"/>
      <c r="C16" s="48"/>
      <c r="D16" s="44"/>
      <c r="E16" s="47"/>
      <c r="F16" s="44" t="s">
        <v>2293</v>
      </c>
      <c r="G16" s="48">
        <v>6</v>
      </c>
      <c r="H16" s="44" t="s">
        <v>2294</v>
      </c>
      <c r="I16" s="47">
        <v>8.5</v>
      </c>
      <c r="J16" s="44" t="s">
        <v>2295</v>
      </c>
      <c r="K16" s="48">
        <v>5</v>
      </c>
      <c r="L16" s="44" t="s">
        <v>2296</v>
      </c>
      <c r="M16" s="48">
        <v>4</v>
      </c>
      <c r="N16" s="48"/>
      <c r="O16" s="20"/>
      <c r="P16" s="3">
        <f t="shared" si="0"/>
        <v>23.5</v>
      </c>
    </row>
    <row r="17" spans="1:17" ht="43.15">
      <c r="A17" s="33" t="s">
        <v>2297</v>
      </c>
      <c r="B17" s="74" t="s">
        <v>2298</v>
      </c>
      <c r="C17" s="45">
        <v>5</v>
      </c>
      <c r="D17" s="44" t="s">
        <v>2299</v>
      </c>
      <c r="E17" s="47">
        <v>7.5</v>
      </c>
      <c r="F17" s="44" t="s">
        <v>2300</v>
      </c>
      <c r="G17" s="48">
        <v>7.5</v>
      </c>
      <c r="H17" s="44"/>
      <c r="I17" s="47"/>
      <c r="J17" s="75" t="s">
        <v>2301</v>
      </c>
      <c r="K17" s="45">
        <v>4</v>
      </c>
      <c r="L17" s="76"/>
      <c r="M17" s="45"/>
      <c r="N17" s="45"/>
      <c r="O17" s="20"/>
      <c r="P17" s="3">
        <f t="shared" si="0"/>
        <v>24</v>
      </c>
    </row>
    <row r="18" spans="1:17" ht="28.9">
      <c r="A18" s="77" t="s">
        <v>2302</v>
      </c>
      <c r="B18" s="78" t="s">
        <v>2303</v>
      </c>
      <c r="C18" s="45">
        <v>6.5</v>
      </c>
      <c r="D18" s="78" t="s">
        <v>2303</v>
      </c>
      <c r="E18" s="45">
        <v>6.5</v>
      </c>
      <c r="F18" s="78"/>
      <c r="G18" s="45"/>
      <c r="H18" s="78" t="s">
        <v>2303</v>
      </c>
      <c r="I18" s="45">
        <v>6.5</v>
      </c>
      <c r="J18" s="80"/>
      <c r="K18" s="45"/>
      <c r="L18" s="77"/>
      <c r="M18" s="45"/>
      <c r="N18" s="45"/>
      <c r="O18" s="20"/>
      <c r="P18" s="3">
        <f t="shared" si="0"/>
        <v>19.5</v>
      </c>
    </row>
    <row r="19" spans="1:17">
      <c r="A19" s="45" t="s">
        <v>2304</v>
      </c>
      <c r="B19" s="46" t="s">
        <v>2305</v>
      </c>
      <c r="C19" s="45">
        <v>5</v>
      </c>
      <c r="D19" s="45"/>
      <c r="E19" s="45"/>
      <c r="F19" s="57" t="s">
        <v>2306</v>
      </c>
      <c r="G19" s="45">
        <v>7.5</v>
      </c>
      <c r="H19" s="46"/>
      <c r="I19" s="45"/>
      <c r="J19" s="57" t="s">
        <v>2306</v>
      </c>
      <c r="K19" s="45">
        <v>7.5</v>
      </c>
      <c r="L19" s="45"/>
      <c r="M19" s="45"/>
      <c r="N19" s="45"/>
      <c r="O19" s="20"/>
      <c r="P19" s="3">
        <f t="shared" si="0"/>
        <v>20</v>
      </c>
    </row>
    <row r="20" spans="1:17">
      <c r="A20" s="45"/>
      <c r="B20" s="46"/>
      <c r="C20" s="45"/>
      <c r="D20" s="45"/>
      <c r="E20" s="45"/>
      <c r="F20" s="57"/>
      <c r="G20" s="45"/>
      <c r="H20" s="45"/>
      <c r="I20" s="45"/>
      <c r="J20" s="49"/>
      <c r="K20" s="45"/>
      <c r="L20" s="45"/>
      <c r="M20" s="45"/>
      <c r="N20" s="45"/>
      <c r="O20" s="20"/>
      <c r="P20" s="3">
        <f t="shared" si="0"/>
        <v>0</v>
      </c>
    </row>
    <row r="21" spans="1:17">
      <c r="A21" s="77" t="s">
        <v>2041</v>
      </c>
      <c r="B21" s="79"/>
      <c r="C21" s="48"/>
      <c r="D21" s="79"/>
      <c r="E21" s="48"/>
      <c r="F21" s="79"/>
      <c r="G21" s="48"/>
      <c r="H21" s="79"/>
      <c r="I21" s="48"/>
      <c r="J21" s="79"/>
      <c r="K21" s="48"/>
      <c r="L21" s="81"/>
      <c r="M21" s="51"/>
      <c r="N21" s="48"/>
      <c r="O21" s="20"/>
      <c r="P21" s="3">
        <f t="shared" si="0"/>
        <v>0</v>
      </c>
    </row>
    <row r="22" spans="1:17" ht="28.9">
      <c r="A22" s="52" t="s">
        <v>95</v>
      </c>
      <c r="B22" s="3"/>
      <c r="C22" s="3">
        <f>SUM(C7:C21)</f>
        <v>60</v>
      </c>
      <c r="D22" s="3"/>
      <c r="E22" s="3">
        <f>SUM(E7:E21)</f>
        <v>55.5</v>
      </c>
      <c r="F22" s="3"/>
      <c r="G22" s="3">
        <f>SUM(G7:G21)</f>
        <v>60</v>
      </c>
      <c r="H22" s="3"/>
      <c r="I22" s="3">
        <f>SUM(I7:I21)</f>
        <v>55.5</v>
      </c>
      <c r="J22" s="3"/>
      <c r="K22" s="3">
        <f>SUM(K7:K21)</f>
        <v>53</v>
      </c>
      <c r="L22" s="3"/>
      <c r="M22" s="3">
        <f>SUM(M7:M21)</f>
        <v>27</v>
      </c>
      <c r="N22" s="3"/>
      <c r="O22" s="3">
        <f>SUM(O7:O21)</f>
        <v>0</v>
      </c>
      <c r="P22" s="53">
        <f>SUM(P7:P21)</f>
        <v>311</v>
      </c>
      <c r="Q22">
        <f>P22*20</f>
        <v>6220</v>
      </c>
    </row>
    <row r="23" spans="1:17">
      <c r="C23">
        <f>C22*20</f>
        <v>1200</v>
      </c>
      <c r="E23">
        <f>E22*20</f>
        <v>1110</v>
      </c>
      <c r="G23">
        <f>G22*20</f>
        <v>1200</v>
      </c>
      <c r="I23">
        <f>I22*20</f>
        <v>1110</v>
      </c>
      <c r="K23">
        <f>K22*20</f>
        <v>1060</v>
      </c>
      <c r="M23">
        <f>M22*20</f>
        <v>540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D0BB-14AB-45A4-A6FE-307B4667DA59}">
  <sheetPr>
    <tabColor theme="9"/>
  </sheetPr>
  <dimension ref="A1:Q24"/>
  <sheetViews>
    <sheetView zoomScale="80" zoomScaleNormal="80" workbookViewId="0">
      <selection activeCell="D6" sqref="D6"/>
    </sheetView>
  </sheetViews>
  <sheetFormatPr defaultColWidth="8.85546875" defaultRowHeight="14.45"/>
  <cols>
    <col min="1" max="1" width="11.140625" customWidth="1"/>
    <col min="2" max="2" width="17.42578125" customWidth="1"/>
    <col min="3" max="3" width="5.5703125" bestFit="1" customWidth="1"/>
    <col min="4" max="4" width="20" customWidth="1"/>
    <col min="5" max="5" width="4.28515625" customWidth="1"/>
    <col min="6" max="6" width="20.28515625" bestFit="1" customWidth="1"/>
    <col min="7" max="7" width="4.5703125" bestFit="1" customWidth="1"/>
    <col min="8" max="8" width="20.85546875" bestFit="1" customWidth="1"/>
    <col min="9" max="9" width="4.28515625" customWidth="1"/>
    <col min="10" max="10" width="21" bestFit="1" customWidth="1"/>
    <col min="11" max="11" width="5.5703125" bestFit="1" customWidth="1"/>
    <col min="12" max="12" width="14.42578125" bestFit="1" customWidth="1"/>
    <col min="13" max="13" width="4.5703125" bestFit="1" customWidth="1"/>
    <col min="14" max="14" width="7.140625" bestFit="1" customWidth="1"/>
    <col min="15" max="15" width="4" customWidth="1"/>
    <col min="16" max="16" width="7.140625" customWidth="1"/>
  </cols>
  <sheetData>
    <row r="1" spans="1:16">
      <c r="A1" s="1"/>
      <c r="B1" s="1" t="s">
        <v>0</v>
      </c>
      <c r="C1" s="2" t="s">
        <v>1</v>
      </c>
      <c r="D1" s="1" t="s">
        <v>2</v>
      </c>
      <c r="E1" s="2" t="s">
        <v>1</v>
      </c>
      <c r="F1" s="1" t="s">
        <v>3</v>
      </c>
      <c r="G1" s="2" t="s">
        <v>1</v>
      </c>
      <c r="H1" s="1" t="s">
        <v>4</v>
      </c>
      <c r="I1" s="2" t="s">
        <v>1</v>
      </c>
      <c r="J1" s="1" t="s">
        <v>5</v>
      </c>
      <c r="K1" s="2" t="s">
        <v>1</v>
      </c>
      <c r="L1" s="1" t="s">
        <v>6</v>
      </c>
      <c r="M1" s="2" t="s">
        <v>1</v>
      </c>
      <c r="N1" s="1" t="s">
        <v>7</v>
      </c>
      <c r="O1" s="2" t="s">
        <v>1</v>
      </c>
      <c r="P1" s="3" t="s">
        <v>8</v>
      </c>
    </row>
    <row r="2" spans="1:16">
      <c r="A2" s="4"/>
      <c r="B2" s="5">
        <v>45887</v>
      </c>
      <c r="C2" s="6"/>
      <c r="D2" s="5">
        <v>45888</v>
      </c>
      <c r="E2" s="6"/>
      <c r="F2" s="5">
        <v>45889</v>
      </c>
      <c r="G2" s="6"/>
      <c r="H2" s="5">
        <v>45890</v>
      </c>
      <c r="I2" s="6"/>
      <c r="J2" s="5">
        <v>45891</v>
      </c>
      <c r="K2" s="6"/>
      <c r="L2" s="5">
        <v>45892</v>
      </c>
      <c r="M2" s="6"/>
      <c r="N2" s="5">
        <v>45893</v>
      </c>
      <c r="O2" s="7"/>
      <c r="P2" s="3"/>
    </row>
    <row r="3" spans="1:16" ht="113.25" customHeight="1">
      <c r="A3" s="8" t="s">
        <v>9</v>
      </c>
      <c r="B3" s="9"/>
      <c r="C3" s="10"/>
      <c r="D3" s="62" t="s">
        <v>2307</v>
      </c>
      <c r="E3" s="10"/>
      <c r="F3" s="62"/>
      <c r="G3" s="11"/>
      <c r="H3" s="62" t="s">
        <v>2308</v>
      </c>
      <c r="I3" s="10"/>
      <c r="J3" s="62" t="s">
        <v>2309</v>
      </c>
      <c r="K3" s="11"/>
      <c r="L3" s="62" t="s">
        <v>2310</v>
      </c>
      <c r="M3" s="13"/>
      <c r="N3" s="14"/>
      <c r="O3" s="15"/>
      <c r="P3" s="3"/>
    </row>
    <row r="4" spans="1:16" ht="28.9">
      <c r="A4" s="16" t="s">
        <v>2258</v>
      </c>
      <c r="B4" s="17" t="s">
        <v>753</v>
      </c>
      <c r="C4" s="18">
        <v>9</v>
      </c>
      <c r="D4" s="17" t="s">
        <v>2311</v>
      </c>
      <c r="E4" s="18">
        <v>9</v>
      </c>
      <c r="F4" s="19" t="s">
        <v>16</v>
      </c>
      <c r="G4" s="18">
        <v>8</v>
      </c>
      <c r="H4" s="19" t="s">
        <v>1818</v>
      </c>
      <c r="I4" s="18">
        <v>9.5</v>
      </c>
      <c r="J4" s="19" t="s">
        <v>690</v>
      </c>
      <c r="K4" s="18">
        <v>9</v>
      </c>
      <c r="L4" s="19" t="s">
        <v>17</v>
      </c>
      <c r="M4" s="18"/>
      <c r="N4" s="18" t="s">
        <v>17</v>
      </c>
      <c r="O4" s="20"/>
      <c r="P4" s="3">
        <f t="shared" ref="P4:P21" si="0">SUM(O4,M4,K4,I4,G4,E4,C4)</f>
        <v>44.5</v>
      </c>
    </row>
    <row r="5" spans="1:16" ht="28.9">
      <c r="A5" s="22" t="s">
        <v>2261</v>
      </c>
      <c r="B5" s="21" t="s">
        <v>15</v>
      </c>
      <c r="C5" s="48">
        <v>8</v>
      </c>
      <c r="D5" s="59" t="s">
        <v>2312</v>
      </c>
      <c r="E5" s="48">
        <v>9</v>
      </c>
      <c r="F5" s="21" t="s">
        <v>2313</v>
      </c>
      <c r="G5" s="48">
        <v>8</v>
      </c>
      <c r="H5" s="21" t="s">
        <v>15</v>
      </c>
      <c r="I5" s="48">
        <v>8</v>
      </c>
      <c r="J5" s="21" t="s">
        <v>2314</v>
      </c>
      <c r="K5" s="48">
        <v>8</v>
      </c>
      <c r="L5" s="58"/>
      <c r="M5" s="51"/>
      <c r="N5" s="58"/>
      <c r="O5" s="18"/>
      <c r="P5" s="3">
        <f t="shared" si="0"/>
        <v>41</v>
      </c>
    </row>
    <row r="6" spans="1:16" ht="28.9">
      <c r="A6" s="27" t="s">
        <v>1873</v>
      </c>
      <c r="B6" s="28" t="s">
        <v>26</v>
      </c>
      <c r="C6" s="61"/>
      <c r="D6" s="63" t="s">
        <v>2315</v>
      </c>
      <c r="E6" s="61">
        <v>3</v>
      </c>
      <c r="F6" s="44" t="s">
        <v>2316</v>
      </c>
      <c r="G6" s="61">
        <v>4</v>
      </c>
      <c r="H6" s="29"/>
      <c r="I6" s="61"/>
      <c r="J6" s="44" t="s">
        <v>2317</v>
      </c>
      <c r="K6" s="61">
        <v>4</v>
      </c>
      <c r="L6" s="30" t="s">
        <v>26</v>
      </c>
      <c r="M6" s="61"/>
      <c r="N6" s="28" t="s">
        <v>17</v>
      </c>
      <c r="O6" s="31"/>
      <c r="P6" s="32">
        <f t="shared" si="0"/>
        <v>11</v>
      </c>
    </row>
    <row r="7" spans="1:16" ht="28.9">
      <c r="A7" s="33" t="s">
        <v>2270</v>
      </c>
      <c r="B7" s="30" t="s">
        <v>26</v>
      </c>
      <c r="C7" s="47"/>
      <c r="D7" s="30" t="s">
        <v>2318</v>
      </c>
      <c r="E7" s="47">
        <v>9.5</v>
      </c>
      <c r="F7" s="30" t="s">
        <v>2319</v>
      </c>
      <c r="G7" s="47">
        <v>9.5</v>
      </c>
      <c r="H7" s="34" t="s">
        <v>2320</v>
      </c>
      <c r="I7" s="48">
        <v>5.5</v>
      </c>
      <c r="J7" s="36" t="s">
        <v>2321</v>
      </c>
      <c r="K7" s="47">
        <v>5</v>
      </c>
      <c r="L7" s="35"/>
      <c r="M7" s="48"/>
      <c r="N7" s="30"/>
      <c r="O7" s="20"/>
      <c r="P7" s="3">
        <f t="shared" si="0"/>
        <v>29.5</v>
      </c>
    </row>
    <row r="8" spans="1:16" ht="28.9">
      <c r="A8" s="33" t="s">
        <v>1377</v>
      </c>
      <c r="B8" s="30" t="s">
        <v>2322</v>
      </c>
      <c r="C8" s="47">
        <v>6.5</v>
      </c>
      <c r="D8" s="30"/>
      <c r="E8" s="47"/>
      <c r="F8" s="39"/>
      <c r="G8" s="47"/>
      <c r="H8" s="30" t="s">
        <v>2323</v>
      </c>
      <c r="I8" s="47">
        <v>8.5</v>
      </c>
      <c r="J8" s="44" t="s">
        <v>2324</v>
      </c>
      <c r="K8" s="47">
        <v>4</v>
      </c>
      <c r="L8" s="30"/>
      <c r="M8" s="47"/>
      <c r="N8" s="30"/>
      <c r="O8" s="20"/>
      <c r="P8" s="3">
        <f>SUM(O8,M8,K8,I8,G8,E8,C8)</f>
        <v>19</v>
      </c>
    </row>
    <row r="9" spans="1:16">
      <c r="A9" s="33" t="s">
        <v>1444</v>
      </c>
      <c r="B9" s="30" t="s">
        <v>2192</v>
      </c>
      <c r="C9" s="47">
        <v>8.5</v>
      </c>
      <c r="D9" s="44" t="s">
        <v>2325</v>
      </c>
      <c r="E9" s="48">
        <v>7.5</v>
      </c>
      <c r="F9" s="44" t="s">
        <v>2286</v>
      </c>
      <c r="G9" s="48">
        <v>7.5</v>
      </c>
      <c r="H9" s="33"/>
      <c r="I9" s="47"/>
      <c r="J9" s="30"/>
      <c r="K9" s="48"/>
      <c r="L9" s="30"/>
      <c r="M9" s="51"/>
      <c r="N9" s="30"/>
      <c r="O9" s="20"/>
      <c r="P9" s="3">
        <f>SUM(O9,M9,K9,I9,G9,E9,C9)</f>
        <v>23.5</v>
      </c>
    </row>
    <row r="10" spans="1:16" ht="28.9">
      <c r="A10" s="33" t="s">
        <v>214</v>
      </c>
      <c r="B10" s="41"/>
      <c r="C10" s="47"/>
      <c r="D10" s="37" t="s">
        <v>2326</v>
      </c>
      <c r="E10" s="48">
        <v>6.5</v>
      </c>
      <c r="F10" s="39"/>
      <c r="G10" s="47"/>
      <c r="H10" s="30"/>
      <c r="I10" s="47"/>
      <c r="J10" s="44" t="s">
        <v>2327</v>
      </c>
      <c r="K10" s="47">
        <v>5</v>
      </c>
      <c r="L10" s="30" t="s">
        <v>2328</v>
      </c>
      <c r="M10" s="47">
        <v>10</v>
      </c>
      <c r="N10" s="30"/>
      <c r="O10" s="20"/>
      <c r="P10" s="3">
        <f t="shared" si="0"/>
        <v>21.5</v>
      </c>
    </row>
    <row r="11" spans="1:16" ht="28.9">
      <c r="A11" s="33" t="s">
        <v>698</v>
      </c>
      <c r="B11" s="54" t="s">
        <v>2329</v>
      </c>
      <c r="C11" s="48">
        <v>4</v>
      </c>
      <c r="D11" s="30" t="s">
        <v>2330</v>
      </c>
      <c r="E11" s="48">
        <v>5.5</v>
      </c>
      <c r="F11" s="30" t="s">
        <v>2331</v>
      </c>
      <c r="G11" s="47">
        <v>6.5</v>
      </c>
      <c r="H11" s="28"/>
      <c r="I11" s="48"/>
      <c r="J11" s="30"/>
      <c r="K11" s="47"/>
      <c r="L11" s="42"/>
      <c r="M11" s="48"/>
      <c r="N11" s="30"/>
      <c r="O11" s="20"/>
      <c r="P11" s="3">
        <f t="shared" si="0"/>
        <v>16</v>
      </c>
    </row>
    <row r="12" spans="1:16" ht="28.9">
      <c r="A12" s="33" t="s">
        <v>2279</v>
      </c>
      <c r="B12" s="54" t="s">
        <v>2332</v>
      </c>
      <c r="C12" s="48">
        <v>9.5</v>
      </c>
      <c r="D12" s="30"/>
      <c r="E12" s="87"/>
      <c r="F12" s="37"/>
      <c r="G12" s="48"/>
      <c r="H12" s="30" t="s">
        <v>26</v>
      </c>
      <c r="I12" s="48"/>
      <c r="J12" s="37" t="s">
        <v>2333</v>
      </c>
      <c r="K12" s="48">
        <v>10</v>
      </c>
      <c r="L12" s="40"/>
      <c r="M12" s="48"/>
      <c r="N12" s="30"/>
      <c r="O12" s="20"/>
      <c r="P12" s="3">
        <f t="shared" si="0"/>
        <v>19.5</v>
      </c>
    </row>
    <row r="13" spans="1:16">
      <c r="A13" s="33" t="s">
        <v>2206</v>
      </c>
      <c r="B13" s="44" t="s">
        <v>2334</v>
      </c>
      <c r="C13" s="48">
        <v>7.5</v>
      </c>
      <c r="D13" s="55"/>
      <c r="E13" s="47"/>
      <c r="F13" s="23"/>
      <c r="G13" s="48"/>
      <c r="H13" s="23" t="s">
        <v>2335</v>
      </c>
      <c r="I13" s="48">
        <v>7.5</v>
      </c>
      <c r="J13" s="23" t="s">
        <v>2336</v>
      </c>
      <c r="K13" s="48">
        <v>7.5</v>
      </c>
      <c r="L13" s="42"/>
      <c r="M13" s="51"/>
      <c r="N13" s="36"/>
      <c r="O13" s="20"/>
      <c r="P13" s="3">
        <f t="shared" si="0"/>
        <v>22.5</v>
      </c>
    </row>
    <row r="14" spans="1:16">
      <c r="A14" s="33" t="s">
        <v>1468</v>
      </c>
      <c r="B14" s="36" t="s">
        <v>2337</v>
      </c>
      <c r="C14" s="48">
        <v>7.5</v>
      </c>
      <c r="D14" s="55"/>
      <c r="E14" s="47"/>
      <c r="F14" s="36" t="s">
        <v>2338</v>
      </c>
      <c r="G14" s="47">
        <v>7.5</v>
      </c>
      <c r="H14" s="44"/>
      <c r="I14" s="48"/>
      <c r="J14" s="36" t="s">
        <v>2338</v>
      </c>
      <c r="K14" s="47">
        <v>7.5</v>
      </c>
      <c r="L14" s="36" t="s">
        <v>2339</v>
      </c>
      <c r="M14" s="48">
        <v>7.5</v>
      </c>
      <c r="N14" s="36"/>
      <c r="O14" s="20"/>
      <c r="P14" s="3">
        <f t="shared" si="0"/>
        <v>30</v>
      </c>
    </row>
    <row r="15" spans="1:16" ht="28.9">
      <c r="A15" s="33" t="s">
        <v>2288</v>
      </c>
      <c r="B15" s="42"/>
      <c r="C15" s="48"/>
      <c r="D15" s="36" t="s">
        <v>2340</v>
      </c>
      <c r="E15" s="47">
        <v>7.5</v>
      </c>
      <c r="F15" s="42"/>
      <c r="G15" s="48"/>
      <c r="H15" s="36" t="s">
        <v>2341</v>
      </c>
      <c r="I15" s="48">
        <v>7.5</v>
      </c>
      <c r="J15" s="42"/>
      <c r="K15" s="48"/>
      <c r="L15" s="23" t="s">
        <v>2342</v>
      </c>
      <c r="M15" s="48">
        <v>7.5</v>
      </c>
      <c r="N15" s="36"/>
      <c r="O15" s="20"/>
      <c r="P15" s="3">
        <f t="shared" si="0"/>
        <v>22.5</v>
      </c>
    </row>
    <row r="16" spans="1:16" ht="28.9">
      <c r="A16" s="33" t="s">
        <v>2292</v>
      </c>
      <c r="B16" s="36"/>
      <c r="C16" s="48"/>
      <c r="D16" s="36"/>
      <c r="E16" s="47"/>
      <c r="F16" s="44" t="s">
        <v>2343</v>
      </c>
      <c r="G16" s="48">
        <v>7.5</v>
      </c>
      <c r="H16" s="36"/>
      <c r="I16" s="48"/>
      <c r="J16" s="44" t="s">
        <v>2344</v>
      </c>
      <c r="K16" s="48">
        <v>6.5</v>
      </c>
      <c r="L16" s="44" t="s">
        <v>2345</v>
      </c>
      <c r="M16" s="48">
        <v>5</v>
      </c>
      <c r="N16" s="36"/>
      <c r="O16" s="20"/>
      <c r="P16" s="3">
        <f t="shared" si="0"/>
        <v>19</v>
      </c>
    </row>
    <row r="17" spans="1:17" ht="28.9">
      <c r="A17" s="33" t="s">
        <v>2297</v>
      </c>
      <c r="B17" s="36"/>
      <c r="C17" s="48"/>
      <c r="D17" s="36"/>
      <c r="E17" s="47"/>
      <c r="F17" s="44"/>
      <c r="G17" s="48"/>
      <c r="H17" s="44" t="s">
        <v>2346</v>
      </c>
      <c r="I17" s="48">
        <v>7.5</v>
      </c>
      <c r="J17" s="44" t="s">
        <v>2347</v>
      </c>
      <c r="K17" s="48">
        <v>6.5</v>
      </c>
      <c r="L17" s="44"/>
      <c r="M17" s="48"/>
      <c r="N17" s="36"/>
      <c r="O17" s="20"/>
      <c r="P17" s="3">
        <f t="shared" si="0"/>
        <v>14</v>
      </c>
    </row>
    <row r="18" spans="1:17" ht="36.75" customHeight="1">
      <c r="A18" s="45" t="s">
        <v>2348</v>
      </c>
      <c r="B18" s="48" t="s">
        <v>2349</v>
      </c>
      <c r="C18" s="48">
        <v>4</v>
      </c>
      <c r="D18" s="48"/>
      <c r="E18" s="47"/>
      <c r="F18" s="48"/>
      <c r="G18" s="48"/>
      <c r="H18" s="48" t="s">
        <v>2350</v>
      </c>
      <c r="I18" s="48">
        <v>10</v>
      </c>
      <c r="J18" s="48" t="s">
        <v>2351</v>
      </c>
      <c r="K18" s="48">
        <v>6.5</v>
      </c>
      <c r="L18" s="56"/>
      <c r="M18" s="48"/>
      <c r="N18" s="48" t="s">
        <v>110</v>
      </c>
      <c r="O18" s="20"/>
      <c r="P18" s="3">
        <f t="shared" si="0"/>
        <v>20.5</v>
      </c>
    </row>
    <row r="19" spans="1:17" ht="85.5" customHeight="1">
      <c r="A19" s="45" t="s">
        <v>2352</v>
      </c>
      <c r="B19" s="57" t="s">
        <v>2353</v>
      </c>
      <c r="C19" s="45">
        <v>5.25</v>
      </c>
      <c r="D19" s="45"/>
      <c r="E19" s="45"/>
      <c r="F19" s="57" t="s">
        <v>2354</v>
      </c>
      <c r="G19" s="45">
        <v>4.75</v>
      </c>
      <c r="H19" s="45"/>
      <c r="I19" s="45"/>
      <c r="J19" s="57" t="s">
        <v>2355</v>
      </c>
      <c r="K19" s="45">
        <v>5</v>
      </c>
      <c r="L19" s="45"/>
      <c r="M19" s="45"/>
      <c r="N19" s="45"/>
      <c r="O19" s="20"/>
      <c r="P19" s="3">
        <f t="shared" si="0"/>
        <v>15</v>
      </c>
    </row>
    <row r="20" spans="1:17" ht="57.6">
      <c r="A20" s="45" t="s">
        <v>2356</v>
      </c>
      <c r="B20" s="46"/>
      <c r="C20" s="45"/>
      <c r="D20" s="57" t="s">
        <v>2357</v>
      </c>
      <c r="E20" s="45">
        <v>5</v>
      </c>
      <c r="F20" s="57" t="s">
        <v>934</v>
      </c>
      <c r="G20" s="45">
        <v>5</v>
      </c>
      <c r="H20" s="45"/>
      <c r="I20" s="45"/>
      <c r="J20" s="49" t="s">
        <v>2358</v>
      </c>
      <c r="K20" s="45">
        <v>5</v>
      </c>
      <c r="L20" s="45"/>
      <c r="M20" s="45"/>
      <c r="N20" s="45"/>
      <c r="O20" s="20"/>
      <c r="P20" s="3">
        <f t="shared" si="0"/>
        <v>15</v>
      </c>
    </row>
    <row r="21" spans="1:17" ht="28.9">
      <c r="A21" s="45" t="s">
        <v>2359</v>
      </c>
      <c r="B21" s="46" t="s">
        <v>2360</v>
      </c>
      <c r="C21" s="45">
        <v>3.5</v>
      </c>
      <c r="D21" s="60" t="s">
        <v>2361</v>
      </c>
      <c r="E21" s="45">
        <v>6</v>
      </c>
      <c r="F21" s="57"/>
      <c r="G21" s="45"/>
      <c r="H21" s="45" t="s">
        <v>2362</v>
      </c>
      <c r="I21" s="45">
        <v>6.5</v>
      </c>
      <c r="J21" s="49" t="s">
        <v>2363</v>
      </c>
      <c r="K21" s="45">
        <v>4</v>
      </c>
      <c r="L21" s="45"/>
      <c r="M21" s="45"/>
      <c r="N21" s="45"/>
      <c r="O21" s="20"/>
      <c r="P21" s="3">
        <f t="shared" si="0"/>
        <v>20</v>
      </c>
    </row>
    <row r="22" spans="1:17">
      <c r="A22" s="45" t="s">
        <v>2041</v>
      </c>
      <c r="B22" s="50"/>
      <c r="C22" s="48"/>
      <c r="D22" s="50"/>
      <c r="E22" s="48"/>
      <c r="F22" s="50"/>
      <c r="G22" s="48"/>
      <c r="H22" s="50" t="s">
        <v>2364</v>
      </c>
      <c r="I22" s="48"/>
      <c r="J22" s="50"/>
      <c r="K22" s="48"/>
      <c r="L22" s="48"/>
      <c r="M22" s="51"/>
      <c r="N22" s="48"/>
      <c r="O22" s="20"/>
      <c r="P22" s="3">
        <f>SUM(O22,M22,K22,I22,G22,E22,C22)</f>
        <v>0</v>
      </c>
    </row>
    <row r="23" spans="1:17" ht="43.15">
      <c r="A23" s="52" t="s">
        <v>95</v>
      </c>
      <c r="B23" s="3"/>
      <c r="C23" s="3">
        <f>SUM(C7:C22)</f>
        <v>56.25</v>
      </c>
      <c r="D23" s="3"/>
      <c r="E23" s="3">
        <f>SUM(E7:E22)</f>
        <v>47.5</v>
      </c>
      <c r="F23" s="3"/>
      <c r="G23" s="3">
        <f>SUM(G7:G22)</f>
        <v>48.25</v>
      </c>
      <c r="H23" s="3"/>
      <c r="I23" s="3">
        <f>SUM(I7:I22)</f>
        <v>53</v>
      </c>
      <c r="J23" s="3"/>
      <c r="K23" s="3">
        <f>SUM(K7:K22)</f>
        <v>72.5</v>
      </c>
      <c r="L23" s="3"/>
      <c r="M23" s="3">
        <f>SUM(M7:M22)</f>
        <v>30</v>
      </c>
      <c r="N23" s="3"/>
      <c r="O23" s="3">
        <f>SUM(O7:O22)</f>
        <v>0</v>
      </c>
      <c r="P23" s="53">
        <f>SUM(P7:P22)</f>
        <v>307.5</v>
      </c>
      <c r="Q23">
        <f>P23*20</f>
        <v>6150</v>
      </c>
    </row>
    <row r="24" spans="1:17">
      <c r="C24">
        <f>C23*20</f>
        <v>1125</v>
      </c>
      <c r="E24">
        <f>E23*20</f>
        <v>950</v>
      </c>
      <c r="G24">
        <f>G23*20</f>
        <v>965</v>
      </c>
      <c r="I24">
        <f>I23*20</f>
        <v>1060</v>
      </c>
      <c r="K24">
        <f>K23*20</f>
        <v>1450</v>
      </c>
      <c r="M24">
        <f>M23*20</f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Francisca Vasquez</dc:creator>
  <cp:keywords/>
  <dc:description/>
  <cp:lastModifiedBy/>
  <cp:revision/>
  <dcterms:created xsi:type="dcterms:W3CDTF">2025-08-15T14:51:05Z</dcterms:created>
  <dcterms:modified xsi:type="dcterms:W3CDTF">2026-06-12T23:06:32Z</dcterms:modified>
  <cp:category/>
  <cp:contentStatus/>
</cp:coreProperties>
</file>